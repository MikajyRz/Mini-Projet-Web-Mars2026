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kajy\Documents\GitHub\Mini-Projet-Web-Mars2026\"/>
    </mc:Choice>
  </mc:AlternateContent>
  <xr:revisionPtr revIDLastSave="0" documentId="13_ncr:1_{96B18D40-54BD-432E-B39D-50ACC81D1FB6}" xr6:coauthVersionLast="47" xr6:coauthVersionMax="47" xr10:uidLastSave="{00000000-0000-0000-0000-000000000000}"/>
  <bookViews>
    <workbookView xWindow="3675" yWindow="3675" windowWidth="21600" windowHeight="11295" firstSheet="2" activeTab="4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2" l="1"/>
  <c r="J4" i="2"/>
  <c r="J5" i="2"/>
  <c r="K5" i="2" s="1"/>
  <c r="J6" i="2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J21" i="2"/>
  <c r="J22" i="2"/>
  <c r="K22" i="2" s="1"/>
  <c r="J23" i="2"/>
  <c r="K23" i="2" s="1"/>
  <c r="J24" i="2"/>
  <c r="K24" i="2" s="1"/>
  <c r="J25" i="2"/>
  <c r="J26" i="2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" i="2"/>
  <c r="K4" i="2"/>
  <c r="K6" i="2"/>
  <c r="K20" i="2"/>
  <c r="K21" i="2"/>
  <c r="K25" i="2"/>
  <c r="K26" i="2"/>
  <c r="K35" i="2"/>
  <c r="A2" i="4" l="1"/>
  <c r="J2" i="2" l="1"/>
  <c r="K2" i="2" s="1"/>
  <c r="B2" i="4"/>
  <c r="C2" i="4" l="1"/>
  <c r="C3" i="4" s="1"/>
  <c r="D2" i="4" l="1"/>
  <c r="B12" i="3" s="1"/>
  <c r="E2" i="4"/>
</calcChain>
</file>

<file path=xl/sharedStrings.xml><?xml version="1.0" encoding="utf-8"?>
<sst xmlns="http://schemas.openxmlformats.org/spreadsheetml/2006/main" count="230" uniqueCount="91">
  <si>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</si>
  <si>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</si>
  <si>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</si>
  <si>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</si>
  <si>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</si>
  <si>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</si>
  <si>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</si>
  <si>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</si>
  <si>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</si>
  <si>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</si>
  <si>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</si>
  <si>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</si>
  <si>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Affichage</t>
  </si>
  <si>
    <t>Metier</t>
  </si>
  <si>
    <t>Integration</t>
  </si>
  <si>
    <t>Base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</si>
  <si>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</si>
  <si>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</si>
  <si>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</si>
  <si>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</si>
  <si>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</si>
  <si>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</si>
  <si>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</si>
  <si>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</si>
  <si>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</si>
  <si>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</si>
  <si>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</si>
  <si>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</si>
  <si>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(vide)</t>
  </si>
  <si>
    <t>ETU003214</t>
  </si>
  <si>
    <t>RAZAFIMANJATO Mikajy Soaanjara</t>
  </si>
  <si>
    <t>ETU003188</t>
  </si>
  <si>
    <t>RANDRIANARIVELO Andoniaina</t>
  </si>
  <si>
    <t>MCD</t>
  </si>
  <si>
    <t>Conception</t>
  </si>
  <si>
    <t>Global</t>
  </si>
  <si>
    <t>Setup</t>
  </si>
  <si>
    <t>Docker</t>
  </si>
  <si>
    <t>Frontoffice</t>
  </si>
  <si>
    <t>Configuration</t>
  </si>
  <si>
    <t>Initialisation projet</t>
  </si>
  <si>
    <t xml:space="preserve">Configuration Docker </t>
  </si>
  <si>
    <t>Config</t>
  </si>
  <si>
    <t>Connexion PDO</t>
  </si>
  <si>
    <t>Créer fonction slugify pour url et escape pour protection</t>
  </si>
  <si>
    <t>Routing</t>
  </si>
  <si>
    <t>Router</t>
  </si>
  <si>
    <t>index</t>
  </si>
  <si>
    <t>Créer router principale et ajouter routes</t>
  </si>
  <si>
    <t>Dashboard</t>
  </si>
  <si>
    <t>dashboard</t>
  </si>
  <si>
    <t>Liste articles</t>
  </si>
  <si>
    <t>Lien modifier/ supprimer par article</t>
  </si>
  <si>
    <t>Create</t>
  </si>
  <si>
    <t>article_add</t>
  </si>
  <si>
    <t>Integration TinyMCE</t>
  </si>
  <si>
    <t>Formulaire ajout article,upload,title,categorie</t>
  </si>
  <si>
    <t>Synchroniser TinyMCE -&gt; textarea</t>
  </si>
  <si>
    <t>article_edit</t>
  </si>
  <si>
    <t>Créer formulaire modification article</t>
  </si>
  <si>
    <t xml:space="preserve">Pre remplir formulaire </t>
  </si>
  <si>
    <t>Integration TinyMCE pour contenu</t>
  </si>
  <si>
    <t>Update</t>
  </si>
  <si>
    <t>Delete</t>
  </si>
  <si>
    <t>delete</t>
  </si>
  <si>
    <t>Créer page suppression avec confirmation</t>
  </si>
  <si>
    <t>Traitement</t>
  </si>
  <si>
    <t>Traitement insert et update article</t>
  </si>
  <si>
    <t>metier</t>
  </si>
  <si>
    <t>save_article</t>
  </si>
  <si>
    <t>upload</t>
  </si>
  <si>
    <t>Créer endpoint upload image</t>
  </si>
  <si>
    <t>Validation format fichier, taille, nom unique</t>
  </si>
  <si>
    <t>Retourner JSON pour TinyMCE</t>
  </si>
  <si>
    <t>Home</t>
  </si>
  <si>
    <t>home</t>
  </si>
  <si>
    <t>Créer un page d'accueil</t>
  </si>
  <si>
    <t>Recuperer et afficher les articles recents avec titre,section</t>
  </si>
  <si>
    <t>Créer page article detail</t>
  </si>
  <si>
    <t>article</t>
  </si>
  <si>
    <t>Article</t>
  </si>
  <si>
    <t>Recuperer article par slug</t>
  </si>
  <si>
    <t>Afficher contenu formate</t>
  </si>
  <si>
    <t>Gestion erreur(article inexistant)</t>
  </si>
  <si>
    <t>Layout</t>
  </si>
  <si>
    <t>layout</t>
  </si>
  <si>
    <t>Créer template header/footer</t>
  </si>
  <si>
    <t>Ajouter navigation cohérente</t>
  </si>
  <si>
    <t>categorie_add</t>
  </si>
  <si>
    <t>Formulaire categorie</t>
  </si>
  <si>
    <t>categorie_edit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</si>
</sst>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4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10"/>
      <color rgb="FF00000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12" fillId="0" borderId="2"/>
    <xf numFmtId="0" fontId="12" fillId="0" borderId="2"/>
    <xf numFmtId="0" fontId="12" fillId="0" borderId="2"/>
    <xf numFmtId="0" fontId="12" fillId="0" borderId="2"/>
  </cellStyleXfs>
  <cellXfs count="53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7" fillId="3" borderId="0" xfId="0" applyFont="1" applyFill="1" applyAlignment="1"/>
    <xf numFmtId="10" fontId="7" fillId="3" borderId="0" xfId="0" applyNumberFormat="1" applyFont="1" applyFill="1"/>
    <xf numFmtId="0" fontId="8" fillId="4" borderId="2" xfId="0" applyFont="1" applyFill="1" applyBorder="1" applyAlignment="1"/>
    <xf numFmtId="0" fontId="9" fillId="0" borderId="0" xfId="0" applyFont="1" applyAlignment="1">
      <alignment horizontal="right"/>
    </xf>
    <xf numFmtId="10" fontId="9" fillId="0" borderId="0" xfId="0" applyNumberFormat="1" applyFont="1" applyAlignment="1">
      <alignment horizontal="right"/>
    </xf>
    <xf numFmtId="9" fontId="9" fillId="0" borderId="0" xfId="0" applyNumberFormat="1" applyFont="1" applyAlignment="1">
      <alignment horizontal="right"/>
    </xf>
    <xf numFmtId="0" fontId="9" fillId="0" borderId="0" xfId="0" applyFont="1" applyAlignment="1"/>
    <xf numFmtId="164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0" fillId="0" borderId="3" xfId="0" applyFont="1" applyBorder="1" applyAlignment="1"/>
    <xf numFmtId="0" fontId="0" fillId="0" borderId="3" xfId="0" pivotButton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3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2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1" fillId="0" borderId="0" xfId="0" applyFont="1"/>
    <xf numFmtId="0" fontId="4" fillId="0" borderId="2" xfId="1" applyFont="1"/>
    <xf numFmtId="0" fontId="4" fillId="0" borderId="1" xfId="1" applyFont="1" applyBorder="1"/>
    <xf numFmtId="0" fontId="1" fillId="0" borderId="1" xfId="1" applyFont="1" applyBorder="1"/>
    <xf numFmtId="0" fontId="6" fillId="0" borderId="1" xfId="1" applyFont="1" applyBorder="1"/>
    <xf numFmtId="0" fontId="6" fillId="0" borderId="13" xfId="1" applyFont="1" applyBorder="1"/>
    <xf numFmtId="0" fontId="4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6" fillId="0" borderId="1" xfId="1" applyFont="1" applyBorder="1"/>
    <xf numFmtId="0" fontId="6" fillId="0" borderId="1" xfId="1" applyFont="1" applyBorder="1"/>
    <xf numFmtId="0" fontId="4" fillId="0" borderId="2" xfId="1" applyFont="1"/>
    <xf numFmtId="0" fontId="4" fillId="0" borderId="1" xfId="1" applyFont="1" applyBorder="1"/>
    <xf numFmtId="0" fontId="1" fillId="0" borderId="1" xfId="1" applyFont="1" applyBorder="1"/>
    <xf numFmtId="0" fontId="6" fillId="0" borderId="1" xfId="1" applyFont="1" applyBorder="1"/>
    <xf numFmtId="0" fontId="1" fillId="0" borderId="1" xfId="1" applyFont="1" applyBorder="1" applyAlignment="1">
      <alignment horizontal="right"/>
    </xf>
    <xf numFmtId="0" fontId="10" fillId="4" borderId="0" xfId="0" applyFont="1" applyFill="1"/>
    <xf numFmtId="0" fontId="10" fillId="0" borderId="0" xfId="0" applyFont="1"/>
    <xf numFmtId="0" fontId="0" fillId="0" borderId="0" xfId="0"/>
  </cellXfs>
  <cellStyles count="5">
    <cellStyle name="Normal" xfId="0" builtinId="0"/>
    <cellStyle name="Normal 2" xfId="1" xr:uid="{85CEB80F-48CD-4690-B197-C9E22697E5E4}"/>
    <cellStyle name="Normal 3" xfId="2" xr:uid="{ADD4EC77-FA12-4C10-828F-A36D26E3E7CA}"/>
    <cellStyle name="Normal 4" xfId="3" xr:uid="{04A8EB7C-ABF9-421F-9976-ECCBD989C5EC}"/>
    <cellStyle name="Normal 5" xfId="4" xr:uid="{E412BBEA-51D2-428B-9534-0ABE3D6884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kajy" refreshedDate="46112.468149768516" refreshedVersion="7" recordCount="112" xr:uid="{00000000-000A-0000-FFFF-FFFF00000000}">
  <cacheSource type="worksheet">
    <worksheetSource ref="B1:K919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28">
        <s v="ETU003214"/>
        <s v="ETU003188"/>
        <m/>
        <s v="ETU003206" u="1"/>
        <s v="ETU003190" u="1"/>
        <s v="ETU003193" u="1"/>
        <s v="ETU003196" u="1"/>
        <s v="ETU003199" u="1"/>
        <s v="ETU003202" u="1"/>
        <s v="ETU00XXXX" u="1"/>
        <s v="ETU003205" u="1"/>
        <s v="ETU003192" u="1"/>
        <s v="ETU003189" u="1"/>
        <s v="ETU00ZZZZ" u="1"/>
        <s v="ETU003195" u="1"/>
        <s v="ETU003198" u="1"/>
        <s v="ETU003201" u="1"/>
        <s v="ETU003204" u="1"/>
        <s v="ETU003210" u="1"/>
        <s v="ETU003163" u="1"/>
        <s v="ETU003207" u="1"/>
        <s v="ETU00WWWW" u="1"/>
        <s v="ETU003191" u="1"/>
        <s v="ETU003194" u="1"/>
        <s v="ETU003197" u="1"/>
        <s v="ETU003200" u="1"/>
        <s v="ETU00YYYY" u="1"/>
        <s v="ETU003203" u="1"/>
      </sharedItems>
    </cacheField>
    <cacheField name="Estimation" numFmtId="0">
      <sharedItems containsString="0" containsBlank="1" containsNumber="1" containsInteger="1" minValue="5" maxValue="30"/>
    </cacheField>
    <cacheField name="Temps passé" numFmtId="0">
      <sharedItems containsString="0" containsBlank="1" containsNumber="1" containsInteger="1" minValue="5" maxValue="30"/>
    </cacheField>
    <cacheField name="Reste à faire" numFmtId="0">
      <sharedItems containsString="0" containsBlank="1" containsNumber="1" containsInteger="1" minValue="0" maxValue="0"/>
    </cacheField>
    <cacheField name="Avancement" numFmtId="0">
      <sharedItems containsBlank="1"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Base"/>
    <s v="MCD"/>
    <s v="Conception"/>
    <s v="Global"/>
    <s v="Base"/>
    <x v="0"/>
    <n v="20"/>
    <n v="20"/>
    <n v="0"/>
    <n v="1"/>
  </r>
  <r>
    <s v="Base"/>
    <s v="MCD"/>
    <s v="Conception"/>
    <s v="Global"/>
    <s v="Base"/>
    <x v="1"/>
    <n v="20"/>
    <n v="20"/>
    <n v="0"/>
    <n v="1"/>
  </r>
  <r>
    <s v="Base"/>
    <m/>
    <s v="Setup"/>
    <s v="Initialisation projet"/>
    <s v="Base"/>
    <x v="0"/>
    <n v="20"/>
    <n v="20"/>
    <n v="0"/>
    <n v="1"/>
  </r>
  <r>
    <s v="Base"/>
    <s v="Docker"/>
    <s v="Setup"/>
    <s v="Configuration Docker "/>
    <s v="Integration"/>
    <x v="0"/>
    <n v="15"/>
    <n v="15"/>
    <n v="0"/>
    <n v="1"/>
  </r>
  <r>
    <s v="Base"/>
    <s v="Configuration"/>
    <s v="Config"/>
    <s v="Connexion PDO"/>
    <s v="Base"/>
    <x v="0"/>
    <n v="5"/>
    <n v="5"/>
    <n v="0"/>
    <n v="1"/>
  </r>
  <r>
    <s v="Base"/>
    <s v="Configuration"/>
    <s v="Config"/>
    <s v="Créer fonction slugify pour url et escape pour protection"/>
    <s v="Metier"/>
    <x v="0"/>
    <n v="10"/>
    <n v="10"/>
    <n v="0"/>
    <n v="1"/>
  </r>
  <r>
    <s v="Routing"/>
    <s v="Router"/>
    <s v="index"/>
    <s v="Créer router principale et ajouter routes"/>
    <s v="Integration"/>
    <x v="0"/>
    <n v="20"/>
    <n v="20"/>
    <n v="0"/>
    <n v="1"/>
  </r>
  <r>
    <s v="Backoffice"/>
    <s v="Dashboard"/>
    <s v="dashboard"/>
    <s v="Liste articles"/>
    <s v="Affichage"/>
    <x v="0"/>
    <n v="15"/>
    <n v="15"/>
    <n v="0"/>
    <n v="1"/>
  </r>
  <r>
    <s v="Backoffice"/>
    <s v="Dashboard"/>
    <s v="dashboard"/>
    <s v="Lien modifier/ supprimer par article"/>
    <s v="Integration"/>
    <x v="0"/>
    <n v="5"/>
    <n v="5"/>
    <n v="0"/>
    <n v="1"/>
  </r>
  <r>
    <s v="Backoffice"/>
    <s v="Create"/>
    <s v="article_add"/>
    <s v="Formulaire ajout article,upload,title,categorie"/>
    <s v="Affichage"/>
    <x v="0"/>
    <n v="20"/>
    <n v="20"/>
    <n v="0"/>
    <n v="1"/>
  </r>
  <r>
    <s v="Backoffice"/>
    <s v="Create"/>
    <s v="article_add"/>
    <s v="Integration TinyMCE"/>
    <s v="Integration"/>
    <x v="0"/>
    <n v="15"/>
    <n v="15"/>
    <n v="0"/>
    <n v="1"/>
  </r>
  <r>
    <s v="Backoffice"/>
    <s v="Create"/>
    <s v="article_add"/>
    <s v="Synchroniser TinyMCE -&gt; textarea"/>
    <s v="Metier"/>
    <x v="0"/>
    <n v="15"/>
    <n v="15"/>
    <n v="0"/>
    <n v="1"/>
  </r>
  <r>
    <s v="Backoffice"/>
    <s v="Update"/>
    <s v="article_edit"/>
    <s v="Créer formulaire modification article"/>
    <s v="Affichage"/>
    <x v="0"/>
    <n v="15"/>
    <n v="15"/>
    <n v="0"/>
    <n v="1"/>
  </r>
  <r>
    <s v="Backoffice"/>
    <s v="Update"/>
    <s v="article_edit"/>
    <s v="Pre remplir formulaire "/>
    <s v="Metier"/>
    <x v="0"/>
    <n v="10"/>
    <n v="10"/>
    <n v="0"/>
    <n v="1"/>
  </r>
  <r>
    <s v="Backoffice"/>
    <s v="Update"/>
    <s v="article_edit"/>
    <s v="Integration TinyMCE pour contenu"/>
    <s v="Integration"/>
    <x v="0"/>
    <n v="10"/>
    <n v="10"/>
    <n v="0"/>
    <n v="1"/>
  </r>
  <r>
    <s v="Backoffice"/>
    <s v="Update"/>
    <s v="article_edit"/>
    <s v="Synchroniser TinyMCE -&gt; textarea"/>
    <s v="Metier"/>
    <x v="0"/>
    <n v="10"/>
    <n v="10"/>
    <n v="0"/>
    <n v="1"/>
  </r>
  <r>
    <s v="Backoffice"/>
    <s v="Delete"/>
    <s v="delete"/>
    <s v="Créer page suppression avec confirmation"/>
    <s v="Integration"/>
    <x v="1"/>
    <n v="15"/>
    <n v="15"/>
    <n v="0"/>
    <n v="1"/>
  </r>
  <r>
    <s v="Backoffice"/>
    <s v="Traitement"/>
    <s v="save_article"/>
    <s v="Traitement insert et update article"/>
    <s v="Metier"/>
    <x v="1"/>
    <n v="30"/>
    <n v="30"/>
    <n v="0"/>
    <n v="1"/>
  </r>
  <r>
    <s v="Backoffice"/>
    <s v="Traitement"/>
    <s v="upload"/>
    <s v="Créer endpoint upload image"/>
    <s v="Integration"/>
    <x v="1"/>
    <n v="20"/>
    <n v="20"/>
    <n v="0"/>
    <n v="1"/>
  </r>
  <r>
    <s v="Backoffice"/>
    <s v="Traitement"/>
    <s v="upload"/>
    <s v="Validation format fichier, taille, nom unique"/>
    <s v="Metier"/>
    <x v="1"/>
    <n v="20"/>
    <n v="20"/>
    <n v="0"/>
    <n v="1"/>
  </r>
  <r>
    <s v="Backoffice"/>
    <s v="Traitement"/>
    <s v="upload"/>
    <s v="Retourner JSON pour TinyMCE"/>
    <s v="Integration"/>
    <x v="1"/>
    <n v="10"/>
    <n v="10"/>
    <n v="0"/>
    <n v="1"/>
  </r>
  <r>
    <s v="Frontoffice"/>
    <s v="Home"/>
    <s v="home"/>
    <s v="Créer un page d'accueil"/>
    <s v="Affichage"/>
    <x v="1"/>
    <n v="20"/>
    <n v="20"/>
    <n v="0"/>
    <n v="1"/>
  </r>
  <r>
    <s v="Frontoffice"/>
    <s v="Home"/>
    <s v="home"/>
    <s v="Recuperer et afficher les articles recents avec titre,section"/>
    <s v="Metier"/>
    <x v="1"/>
    <n v="20"/>
    <n v="20"/>
    <n v="0"/>
    <n v="1"/>
  </r>
  <r>
    <s v="Frontoffice"/>
    <s v="Article"/>
    <s v="article"/>
    <s v="Créer page article detail"/>
    <s v="Affichage"/>
    <x v="1"/>
    <n v="20"/>
    <n v="20"/>
    <n v="0"/>
    <n v="1"/>
  </r>
  <r>
    <s v="Frontoffice"/>
    <s v="Article"/>
    <s v="article"/>
    <s v="Recuperer article par slug"/>
    <s v="Metier"/>
    <x v="1"/>
    <n v="15"/>
    <n v="15"/>
    <n v="0"/>
    <n v="1"/>
  </r>
  <r>
    <s v="Frontoffice"/>
    <s v="Article"/>
    <s v="article"/>
    <s v="Afficher contenu formate"/>
    <s v="Affichage"/>
    <x v="1"/>
    <n v="15"/>
    <n v="15"/>
    <n v="0"/>
    <n v="1"/>
  </r>
  <r>
    <s v="Frontoffice"/>
    <s v="Article"/>
    <s v="article"/>
    <s v="Gestion erreur(article inexistant)"/>
    <s v="Metier"/>
    <x v="1"/>
    <n v="10"/>
    <n v="10"/>
    <n v="0"/>
    <n v="1"/>
  </r>
  <r>
    <s v="Frontoffice"/>
    <s v="Layout"/>
    <s v="layout"/>
    <s v="Créer template header/footer"/>
    <s v="Affichage"/>
    <x v="1"/>
    <n v="20"/>
    <n v="20"/>
    <n v="0"/>
    <n v="1"/>
  </r>
  <r>
    <s v="Frontoffice"/>
    <s v="Layout"/>
    <s v="layout"/>
    <s v="Ajouter navigation cohérente"/>
    <s v="Affichage"/>
    <x v="1"/>
    <n v="10"/>
    <n v="10"/>
    <n v="0"/>
    <n v="1"/>
  </r>
  <r>
    <m/>
    <m/>
    <m/>
    <m/>
    <m/>
    <x v="2"/>
    <m/>
    <m/>
    <n v="0"/>
    <e v="#DIV/0!"/>
  </r>
  <r>
    <m/>
    <m/>
    <m/>
    <m/>
    <m/>
    <x v="2"/>
    <m/>
    <m/>
    <n v="0"/>
    <e v="#DIV/0!"/>
  </r>
  <r>
    <m/>
    <m/>
    <m/>
    <m/>
    <m/>
    <x v="2"/>
    <m/>
    <m/>
    <n v="0"/>
    <e v="#DIV/0!"/>
  </r>
  <r>
    <m/>
    <m/>
    <m/>
    <m/>
    <m/>
    <x v="2"/>
    <m/>
    <m/>
    <n v="0"/>
    <e v="#DIV/0!"/>
  </r>
  <r>
    <m/>
    <m/>
    <m/>
    <m/>
    <m/>
    <x v="2"/>
    <m/>
    <m/>
    <n v="0"/>
    <e v="#DIV/0!"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  <r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3" applyNumberFormats="0" applyBorderFormats="0" applyFontFormats="0" applyPatternFormats="0" applyAlignmentFormats="0" applyWidthHeightFormats="0" dataCaption="" updatedVersion="7" compact="0" compactData="0">
  <location ref="A1:D6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29">
        <item m="1" x="19"/>
        <item x="1"/>
        <item m="1" x="12"/>
        <item m="1" x="4"/>
        <item m="1" x="22"/>
        <item m="1" x="11"/>
        <item m="1" x="5"/>
        <item m="1" x="23"/>
        <item m="1" x="14"/>
        <item m="1" x="6"/>
        <item m="1" x="24"/>
        <item m="1" x="15"/>
        <item m="1" x="7"/>
        <item m="1" x="25"/>
        <item m="1" x="16"/>
        <item m="1" x="8"/>
        <item m="1" x="27"/>
        <item m="1" x="17"/>
        <item m="1" x="10"/>
        <item m="1" x="3"/>
        <item m="1" x="20"/>
        <item m="1" x="18"/>
        <item x="0"/>
        <item m="1" x="21"/>
        <item m="1" x="9"/>
        <item m="1" x="26"/>
        <item m="1" x="13"/>
        <item x="2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4">
    <i>
      <x v="1"/>
    </i>
    <i>
      <x v="22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activeCell="A3" sqref="A3"/>
    </sheetView>
  </sheetViews>
  <sheetFormatPr baseColWidth="10" defaultColWidth="12.5703125" defaultRowHeight="15.75" customHeight="1"/>
  <cols>
    <col min="2" max="2" width="49.7109375" customWidth="1"/>
  </cols>
  <sheetData>
    <row r="1" spans="1:2">
      <c r="A1" s="1" t="s">
        <v>29</v>
      </c>
      <c r="B1" s="1" t="s">
        <v>30</v>
      </c>
    </row>
    <row r="2" spans="1:2">
      <c r="A2" s="1" t="s">
        <v>31</v>
      </c>
      <c r="B2" s="1" t="s">
        <v>32</v>
      </c>
    </row>
    <row r="3" spans="1:2">
      <c r="A3" s="1"/>
      <c r="B3" s="34"/>
    </row>
    <row r="4" spans="1:2">
      <c r="A4" s="1"/>
      <c r="B4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12"/>
  <sheetViews>
    <sheetView topLeftCell="E1" workbookViewId="0">
      <selection activeCell="H31" sqref="H31"/>
    </sheetView>
  </sheetViews>
  <sheetFormatPr baseColWidth="10" defaultColWidth="12.5703125" defaultRowHeight="15.75" customHeight="1"/>
  <cols>
    <col min="1" max="1" width="5.85546875" customWidth="1"/>
    <col min="2" max="2" width="19" customWidth="1"/>
    <col min="3" max="3" width="35" customWidth="1"/>
    <col min="4" max="4" width="25.5703125" customWidth="1"/>
    <col min="5" max="5" width="75.28515625" customWidth="1"/>
  </cols>
  <sheetData>
    <row r="1" spans="1:11" ht="15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2.75">
      <c r="A2" s="35">
        <v>1</v>
      </c>
      <c r="B2" s="36" t="s">
        <v>15</v>
      </c>
      <c r="C2" s="37" t="s">
        <v>33</v>
      </c>
      <c r="D2" s="37" t="s">
        <v>34</v>
      </c>
      <c r="E2" s="38" t="s">
        <v>35</v>
      </c>
      <c r="F2" s="38" t="s">
        <v>15</v>
      </c>
      <c r="G2" s="37" t="s">
        <v>29</v>
      </c>
      <c r="H2" s="47">
        <v>20</v>
      </c>
      <c r="I2" s="49">
        <v>20</v>
      </c>
      <c r="J2" s="5">
        <f t="shared" ref="J2:J35" si="0">H2-I2</f>
        <v>0</v>
      </c>
      <c r="K2" s="6">
        <f t="shared" ref="K2:K35" si="1">(I2/(I2+J2))</f>
        <v>1</v>
      </c>
    </row>
    <row r="3" spans="1:11" ht="12.75">
      <c r="A3" s="35">
        <v>2</v>
      </c>
      <c r="B3" s="36" t="s">
        <v>15</v>
      </c>
      <c r="C3" s="38" t="s">
        <v>33</v>
      </c>
      <c r="D3" s="37" t="s">
        <v>34</v>
      </c>
      <c r="E3" s="38" t="s">
        <v>35</v>
      </c>
      <c r="F3" s="38" t="s">
        <v>15</v>
      </c>
      <c r="G3" s="37" t="s">
        <v>31</v>
      </c>
      <c r="H3" s="47">
        <v>20</v>
      </c>
      <c r="I3" s="49">
        <v>20</v>
      </c>
      <c r="J3" s="7">
        <f t="shared" si="0"/>
        <v>0</v>
      </c>
      <c r="K3" s="6">
        <f t="shared" si="1"/>
        <v>1</v>
      </c>
    </row>
    <row r="4" spans="1:11" ht="12.75">
      <c r="A4" s="35">
        <v>3</v>
      </c>
      <c r="B4" s="36" t="s">
        <v>15</v>
      </c>
      <c r="D4" s="37" t="s">
        <v>36</v>
      </c>
      <c r="E4" s="38" t="s">
        <v>40</v>
      </c>
      <c r="F4" s="38" t="s">
        <v>15</v>
      </c>
      <c r="G4" s="37" t="s">
        <v>29</v>
      </c>
      <c r="H4" s="47">
        <v>20</v>
      </c>
      <c r="I4" s="49">
        <v>20</v>
      </c>
      <c r="J4" s="7">
        <f t="shared" si="0"/>
        <v>0</v>
      </c>
      <c r="K4" s="6">
        <f t="shared" si="1"/>
        <v>1</v>
      </c>
    </row>
    <row r="5" spans="1:11" ht="12.75">
      <c r="A5" s="45">
        <v>4</v>
      </c>
      <c r="B5" s="36" t="s">
        <v>15</v>
      </c>
      <c r="C5" s="38" t="s">
        <v>37</v>
      </c>
      <c r="D5" s="37" t="s">
        <v>36</v>
      </c>
      <c r="E5" s="38" t="s">
        <v>41</v>
      </c>
      <c r="F5" s="38" t="s">
        <v>14</v>
      </c>
      <c r="G5" s="37" t="s">
        <v>29</v>
      </c>
      <c r="H5" s="47">
        <v>15</v>
      </c>
      <c r="I5" s="49">
        <v>15</v>
      </c>
      <c r="J5" s="7">
        <f t="shared" si="0"/>
        <v>0</v>
      </c>
      <c r="K5" s="6">
        <f t="shared" si="1"/>
        <v>1</v>
      </c>
    </row>
    <row r="6" spans="1:11" ht="12.75">
      <c r="A6" s="45">
        <v>5</v>
      </c>
      <c r="B6" s="36" t="s">
        <v>15</v>
      </c>
      <c r="C6" s="38" t="s">
        <v>39</v>
      </c>
      <c r="D6" s="37" t="s">
        <v>42</v>
      </c>
      <c r="E6" s="38" t="s">
        <v>43</v>
      </c>
      <c r="F6" s="38" t="s">
        <v>15</v>
      </c>
      <c r="G6" s="37" t="s">
        <v>29</v>
      </c>
      <c r="H6" s="47">
        <v>5</v>
      </c>
      <c r="I6" s="49">
        <v>5</v>
      </c>
      <c r="J6" s="7">
        <f t="shared" si="0"/>
        <v>0</v>
      </c>
      <c r="K6" s="6">
        <f t="shared" si="1"/>
        <v>1</v>
      </c>
    </row>
    <row r="7" spans="1:11" ht="12.75">
      <c r="A7" s="45">
        <v>6</v>
      </c>
      <c r="B7" s="36" t="s">
        <v>15</v>
      </c>
      <c r="C7" s="38" t="s">
        <v>39</v>
      </c>
      <c r="D7" s="37" t="s">
        <v>42</v>
      </c>
      <c r="E7" s="38" t="s">
        <v>44</v>
      </c>
      <c r="F7" s="38" t="s">
        <v>13</v>
      </c>
      <c r="G7" s="47" t="s">
        <v>29</v>
      </c>
      <c r="H7" s="47">
        <v>10</v>
      </c>
      <c r="I7" s="49">
        <v>10</v>
      </c>
      <c r="J7" s="7">
        <f t="shared" si="0"/>
        <v>0</v>
      </c>
      <c r="K7" s="6">
        <f t="shared" si="1"/>
        <v>1</v>
      </c>
    </row>
    <row r="8" spans="1:11" ht="12.75">
      <c r="A8" s="45">
        <v>7</v>
      </c>
      <c r="B8" s="36" t="s">
        <v>45</v>
      </c>
      <c r="C8" s="38" t="s">
        <v>46</v>
      </c>
      <c r="D8" s="37" t="s">
        <v>47</v>
      </c>
      <c r="E8" s="39" t="s">
        <v>48</v>
      </c>
      <c r="F8" s="38" t="s">
        <v>14</v>
      </c>
      <c r="G8" s="47" t="s">
        <v>29</v>
      </c>
      <c r="H8" s="47">
        <v>20</v>
      </c>
      <c r="I8" s="49">
        <v>20</v>
      </c>
      <c r="J8" s="7">
        <f t="shared" si="0"/>
        <v>0</v>
      </c>
      <c r="K8" s="6">
        <f t="shared" si="1"/>
        <v>1</v>
      </c>
    </row>
    <row r="9" spans="1:11" ht="12.75">
      <c r="A9" s="45">
        <v>8</v>
      </c>
      <c r="B9" s="36" t="s">
        <v>11</v>
      </c>
      <c r="C9" s="38" t="s">
        <v>49</v>
      </c>
      <c r="D9" s="37" t="s">
        <v>50</v>
      </c>
      <c r="E9" s="39" t="s">
        <v>51</v>
      </c>
      <c r="F9" s="39" t="s">
        <v>12</v>
      </c>
      <c r="G9" s="47" t="s">
        <v>29</v>
      </c>
      <c r="H9" s="47">
        <v>15</v>
      </c>
      <c r="I9" s="49">
        <v>15</v>
      </c>
      <c r="J9" s="7">
        <f t="shared" si="0"/>
        <v>0</v>
      </c>
      <c r="K9" s="6">
        <f t="shared" si="1"/>
        <v>1</v>
      </c>
    </row>
    <row r="10" spans="1:11" ht="12.75">
      <c r="A10" s="45">
        <v>9</v>
      </c>
      <c r="B10" s="46" t="s">
        <v>11</v>
      </c>
      <c r="C10" s="48" t="s">
        <v>49</v>
      </c>
      <c r="D10" s="47" t="s">
        <v>50</v>
      </c>
      <c r="E10" s="41" t="s">
        <v>52</v>
      </c>
      <c r="F10" s="42" t="s">
        <v>14</v>
      </c>
      <c r="G10" s="47" t="s">
        <v>29</v>
      </c>
      <c r="H10" s="47">
        <v>5</v>
      </c>
      <c r="I10" s="49">
        <v>5</v>
      </c>
      <c r="J10" s="7">
        <f t="shared" si="0"/>
        <v>0</v>
      </c>
      <c r="K10" s="6">
        <f t="shared" si="1"/>
        <v>1</v>
      </c>
    </row>
    <row r="11" spans="1:11" ht="12.75">
      <c r="A11" s="45">
        <v>10</v>
      </c>
      <c r="B11" s="46" t="s">
        <v>11</v>
      </c>
      <c r="C11" s="48" t="s">
        <v>53</v>
      </c>
      <c r="D11" s="47" t="s">
        <v>54</v>
      </c>
      <c r="E11" s="40" t="s">
        <v>56</v>
      </c>
      <c r="F11" s="40" t="s">
        <v>12</v>
      </c>
      <c r="G11" s="47" t="s">
        <v>29</v>
      </c>
      <c r="H11" s="47">
        <v>20</v>
      </c>
      <c r="I11" s="49">
        <v>20</v>
      </c>
      <c r="J11" s="7">
        <f t="shared" si="0"/>
        <v>0</v>
      </c>
      <c r="K11" s="6">
        <f t="shared" si="1"/>
        <v>1</v>
      </c>
    </row>
    <row r="12" spans="1:11" ht="12.75">
      <c r="A12" s="45">
        <v>11</v>
      </c>
      <c r="B12" s="46" t="s">
        <v>11</v>
      </c>
      <c r="C12" s="48" t="s">
        <v>53</v>
      </c>
      <c r="D12" s="47" t="s">
        <v>54</v>
      </c>
      <c r="E12" s="40" t="s">
        <v>55</v>
      </c>
      <c r="F12" s="40" t="s">
        <v>14</v>
      </c>
      <c r="G12" s="47" t="s">
        <v>29</v>
      </c>
      <c r="H12" s="47">
        <v>15</v>
      </c>
      <c r="I12" s="49">
        <v>15</v>
      </c>
      <c r="J12" s="7">
        <f t="shared" si="0"/>
        <v>0</v>
      </c>
      <c r="K12" s="6">
        <f t="shared" si="1"/>
        <v>1</v>
      </c>
    </row>
    <row r="13" spans="1:11" ht="12.75">
      <c r="A13" s="45">
        <v>12</v>
      </c>
      <c r="B13" s="46" t="s">
        <v>11</v>
      </c>
      <c r="C13" s="48" t="s">
        <v>53</v>
      </c>
      <c r="D13" s="47" t="s">
        <v>54</v>
      </c>
      <c r="E13" s="40" t="s">
        <v>57</v>
      </c>
      <c r="F13" s="40" t="s">
        <v>13</v>
      </c>
      <c r="G13" s="47" t="s">
        <v>29</v>
      </c>
      <c r="H13" s="47">
        <v>15</v>
      </c>
      <c r="I13" s="49">
        <v>15</v>
      </c>
      <c r="J13" s="7">
        <f t="shared" si="0"/>
        <v>0</v>
      </c>
      <c r="K13" s="6">
        <f t="shared" si="1"/>
        <v>1</v>
      </c>
    </row>
    <row r="14" spans="1:11" ht="12.75">
      <c r="A14" s="45">
        <v>13</v>
      </c>
      <c r="B14" s="46" t="s">
        <v>11</v>
      </c>
      <c r="C14" s="40" t="s">
        <v>62</v>
      </c>
      <c r="D14" s="40" t="s">
        <v>58</v>
      </c>
      <c r="E14" s="40" t="s">
        <v>59</v>
      </c>
      <c r="F14" s="40" t="s">
        <v>12</v>
      </c>
      <c r="G14" s="47" t="s">
        <v>29</v>
      </c>
      <c r="H14" s="47">
        <v>15</v>
      </c>
      <c r="I14" s="49">
        <v>15</v>
      </c>
      <c r="J14" s="7">
        <f t="shared" si="0"/>
        <v>0</v>
      </c>
      <c r="K14" s="6">
        <f t="shared" si="1"/>
        <v>1</v>
      </c>
    </row>
    <row r="15" spans="1:11" ht="12.75">
      <c r="A15" s="45">
        <v>14</v>
      </c>
      <c r="B15" s="46" t="s">
        <v>11</v>
      </c>
      <c r="C15" s="40" t="s">
        <v>62</v>
      </c>
      <c r="D15" s="40" t="s">
        <v>58</v>
      </c>
      <c r="E15" s="40" t="s">
        <v>60</v>
      </c>
      <c r="F15" s="40" t="s">
        <v>13</v>
      </c>
      <c r="G15" s="47" t="s">
        <v>29</v>
      </c>
      <c r="H15" s="47">
        <v>10</v>
      </c>
      <c r="I15" s="49">
        <v>10</v>
      </c>
      <c r="J15" s="7">
        <f t="shared" si="0"/>
        <v>0</v>
      </c>
      <c r="K15" s="6">
        <f t="shared" si="1"/>
        <v>1</v>
      </c>
    </row>
    <row r="16" spans="1:11" ht="12.75">
      <c r="A16" s="45">
        <v>15</v>
      </c>
      <c r="B16" s="46" t="s">
        <v>11</v>
      </c>
      <c r="C16" s="40" t="s">
        <v>62</v>
      </c>
      <c r="D16" s="40" t="s">
        <v>58</v>
      </c>
      <c r="E16" s="40" t="s">
        <v>61</v>
      </c>
      <c r="F16" s="40" t="s">
        <v>14</v>
      </c>
      <c r="G16" s="47" t="s">
        <v>29</v>
      </c>
      <c r="H16" s="47">
        <v>10</v>
      </c>
      <c r="I16" s="49">
        <v>10</v>
      </c>
      <c r="J16" s="7">
        <f t="shared" si="0"/>
        <v>0</v>
      </c>
      <c r="K16" s="6">
        <f t="shared" si="1"/>
        <v>1</v>
      </c>
    </row>
    <row r="17" spans="1:11" ht="12.75">
      <c r="A17" s="45">
        <v>16</v>
      </c>
      <c r="B17" s="46" t="s">
        <v>11</v>
      </c>
      <c r="C17" s="40" t="s">
        <v>62</v>
      </c>
      <c r="D17" s="40" t="s">
        <v>58</v>
      </c>
      <c r="E17" s="40" t="s">
        <v>57</v>
      </c>
      <c r="F17" s="40" t="s">
        <v>13</v>
      </c>
      <c r="G17" s="47" t="s">
        <v>29</v>
      </c>
      <c r="H17" s="47">
        <v>10</v>
      </c>
      <c r="I17" s="49">
        <v>10</v>
      </c>
      <c r="J17" s="7">
        <f t="shared" si="0"/>
        <v>0</v>
      </c>
      <c r="K17" s="6">
        <f t="shared" si="1"/>
        <v>1</v>
      </c>
    </row>
    <row r="18" spans="1:11" ht="12.75">
      <c r="A18" s="45">
        <v>17</v>
      </c>
      <c r="B18" s="46" t="s">
        <v>11</v>
      </c>
      <c r="C18" s="40" t="s">
        <v>63</v>
      </c>
      <c r="D18" s="40" t="s">
        <v>64</v>
      </c>
      <c r="E18" s="40" t="s">
        <v>65</v>
      </c>
      <c r="F18" s="40" t="s">
        <v>14</v>
      </c>
      <c r="G18" s="37" t="s">
        <v>31</v>
      </c>
      <c r="H18" s="47">
        <v>15</v>
      </c>
      <c r="I18" s="49">
        <v>15</v>
      </c>
      <c r="J18" s="7">
        <f t="shared" si="0"/>
        <v>0</v>
      </c>
      <c r="K18" s="6">
        <f t="shared" si="1"/>
        <v>1</v>
      </c>
    </row>
    <row r="19" spans="1:11" ht="12.75">
      <c r="A19" s="45">
        <v>18</v>
      </c>
      <c r="B19" s="46" t="s">
        <v>11</v>
      </c>
      <c r="C19" s="40" t="s">
        <v>66</v>
      </c>
      <c r="D19" s="40" t="s">
        <v>69</v>
      </c>
      <c r="E19" s="40" t="s">
        <v>67</v>
      </c>
      <c r="F19" s="40" t="s">
        <v>68</v>
      </c>
      <c r="G19" s="47" t="s">
        <v>31</v>
      </c>
      <c r="H19" s="47">
        <v>30</v>
      </c>
      <c r="I19" s="49">
        <v>30</v>
      </c>
      <c r="J19" s="7">
        <f t="shared" si="0"/>
        <v>0</v>
      </c>
      <c r="K19" s="6">
        <f t="shared" si="1"/>
        <v>1</v>
      </c>
    </row>
    <row r="20" spans="1:11" ht="15.75" customHeight="1">
      <c r="A20" s="45">
        <v>19</v>
      </c>
      <c r="B20" s="40" t="s">
        <v>11</v>
      </c>
      <c r="C20" s="40" t="s">
        <v>66</v>
      </c>
      <c r="D20" s="40" t="s">
        <v>70</v>
      </c>
      <c r="E20" s="40" t="s">
        <v>71</v>
      </c>
      <c r="F20" s="40" t="s">
        <v>14</v>
      </c>
      <c r="G20" s="47" t="s">
        <v>31</v>
      </c>
      <c r="H20" s="47">
        <v>20</v>
      </c>
      <c r="I20" s="49">
        <v>20</v>
      </c>
      <c r="J20" s="7">
        <f t="shared" si="0"/>
        <v>0</v>
      </c>
      <c r="K20" s="6">
        <f t="shared" si="1"/>
        <v>1</v>
      </c>
    </row>
    <row r="21" spans="1:11" ht="15.75" customHeight="1">
      <c r="A21" s="45">
        <v>20</v>
      </c>
      <c r="B21" s="40" t="s">
        <v>11</v>
      </c>
      <c r="C21" s="40" t="s">
        <v>66</v>
      </c>
      <c r="D21" s="40" t="s">
        <v>70</v>
      </c>
      <c r="E21" s="40" t="s">
        <v>72</v>
      </c>
      <c r="F21" s="40" t="s">
        <v>13</v>
      </c>
      <c r="G21" s="47" t="s">
        <v>31</v>
      </c>
      <c r="H21" s="47">
        <v>20</v>
      </c>
      <c r="I21" s="49">
        <v>20</v>
      </c>
      <c r="J21" s="7">
        <f t="shared" si="0"/>
        <v>0</v>
      </c>
      <c r="K21" s="6">
        <f t="shared" si="1"/>
        <v>1</v>
      </c>
    </row>
    <row r="22" spans="1:11" ht="15.75" customHeight="1">
      <c r="A22" s="45">
        <v>21</v>
      </c>
      <c r="B22" s="40" t="s">
        <v>11</v>
      </c>
      <c r="C22" s="40" t="s">
        <v>66</v>
      </c>
      <c r="D22" s="40" t="s">
        <v>70</v>
      </c>
      <c r="E22" s="40" t="s">
        <v>73</v>
      </c>
      <c r="F22" s="40" t="s">
        <v>14</v>
      </c>
      <c r="G22" s="47" t="s">
        <v>31</v>
      </c>
      <c r="H22" s="47">
        <v>10</v>
      </c>
      <c r="I22" s="49">
        <v>10</v>
      </c>
      <c r="J22" s="7">
        <f t="shared" si="0"/>
        <v>0</v>
      </c>
      <c r="K22" s="6">
        <f t="shared" si="1"/>
        <v>1</v>
      </c>
    </row>
    <row r="23" spans="1:11" ht="15.75" customHeight="1">
      <c r="A23" s="45">
        <v>22</v>
      </c>
      <c r="B23" s="40" t="s">
        <v>38</v>
      </c>
      <c r="C23" s="40" t="s">
        <v>74</v>
      </c>
      <c r="D23" s="40" t="s">
        <v>75</v>
      </c>
      <c r="E23" s="40" t="s">
        <v>76</v>
      </c>
      <c r="F23" s="40" t="s">
        <v>12</v>
      </c>
      <c r="G23" s="37" t="s">
        <v>31</v>
      </c>
      <c r="H23" s="47">
        <v>20</v>
      </c>
      <c r="I23" s="49">
        <v>20</v>
      </c>
      <c r="J23" s="7">
        <f t="shared" si="0"/>
        <v>0</v>
      </c>
      <c r="K23" s="6">
        <f t="shared" si="1"/>
        <v>1</v>
      </c>
    </row>
    <row r="24" spans="1:11" ht="15.75" customHeight="1">
      <c r="A24" s="45">
        <v>23</v>
      </c>
      <c r="B24" s="40" t="s">
        <v>38</v>
      </c>
      <c r="C24" s="40" t="s">
        <v>74</v>
      </c>
      <c r="D24" s="40" t="s">
        <v>75</v>
      </c>
      <c r="E24" s="40" t="s">
        <v>77</v>
      </c>
      <c r="F24" s="40" t="s">
        <v>13</v>
      </c>
      <c r="G24" s="47" t="s">
        <v>31</v>
      </c>
      <c r="H24" s="47">
        <v>20</v>
      </c>
      <c r="I24" s="49">
        <v>20</v>
      </c>
      <c r="J24" s="7">
        <f t="shared" si="0"/>
        <v>0</v>
      </c>
      <c r="K24" s="6">
        <f t="shared" si="1"/>
        <v>1</v>
      </c>
    </row>
    <row r="25" spans="1:11" ht="15.75" customHeight="1">
      <c r="A25" s="45">
        <v>24</v>
      </c>
      <c r="B25" s="40" t="s">
        <v>38</v>
      </c>
      <c r="C25" s="40" t="s">
        <v>80</v>
      </c>
      <c r="D25" s="40" t="s">
        <v>79</v>
      </c>
      <c r="E25" s="40" t="s">
        <v>78</v>
      </c>
      <c r="F25" s="40" t="s">
        <v>12</v>
      </c>
      <c r="G25" s="37" t="s">
        <v>31</v>
      </c>
      <c r="H25" s="47">
        <v>20</v>
      </c>
      <c r="I25" s="49">
        <v>20</v>
      </c>
      <c r="J25" s="7">
        <f t="shared" si="0"/>
        <v>0</v>
      </c>
      <c r="K25" s="6">
        <f t="shared" si="1"/>
        <v>1</v>
      </c>
    </row>
    <row r="26" spans="1:11" ht="15.75" customHeight="1">
      <c r="A26" s="45">
        <v>25</v>
      </c>
      <c r="B26" s="40" t="s">
        <v>38</v>
      </c>
      <c r="C26" s="40" t="s">
        <v>80</v>
      </c>
      <c r="D26" s="40" t="s">
        <v>79</v>
      </c>
      <c r="E26" s="40" t="s">
        <v>81</v>
      </c>
      <c r="F26" s="40" t="s">
        <v>13</v>
      </c>
      <c r="G26" s="37" t="s">
        <v>31</v>
      </c>
      <c r="H26" s="47">
        <v>15</v>
      </c>
      <c r="I26" s="49">
        <v>15</v>
      </c>
      <c r="J26" s="7">
        <f t="shared" si="0"/>
        <v>0</v>
      </c>
      <c r="K26" s="6">
        <f t="shared" si="1"/>
        <v>1</v>
      </c>
    </row>
    <row r="27" spans="1:11" ht="15.75" customHeight="1">
      <c r="A27" s="45">
        <v>26</v>
      </c>
      <c r="B27" s="40" t="s">
        <v>38</v>
      </c>
      <c r="C27" s="41" t="s">
        <v>80</v>
      </c>
      <c r="D27" s="41" t="s">
        <v>79</v>
      </c>
      <c r="E27" s="41" t="s">
        <v>82</v>
      </c>
      <c r="F27" s="42" t="s">
        <v>12</v>
      </c>
      <c r="G27" s="47" t="s">
        <v>31</v>
      </c>
      <c r="H27" s="47">
        <v>15</v>
      </c>
      <c r="I27" s="49">
        <v>15</v>
      </c>
      <c r="J27" s="7">
        <f t="shared" si="0"/>
        <v>0</v>
      </c>
      <c r="K27" s="6">
        <f t="shared" si="1"/>
        <v>1</v>
      </c>
    </row>
    <row r="28" spans="1:11" ht="15.75" customHeight="1">
      <c r="A28" s="45">
        <v>27</v>
      </c>
      <c r="B28" s="40" t="s">
        <v>38</v>
      </c>
      <c r="C28" s="41" t="s">
        <v>80</v>
      </c>
      <c r="D28" s="41" t="s">
        <v>79</v>
      </c>
      <c r="E28" s="43" t="s">
        <v>83</v>
      </c>
      <c r="F28" s="40" t="s">
        <v>13</v>
      </c>
      <c r="G28" s="47" t="s">
        <v>31</v>
      </c>
      <c r="H28" s="47">
        <v>10</v>
      </c>
      <c r="I28" s="49">
        <v>10</v>
      </c>
      <c r="J28" s="7">
        <f t="shared" si="0"/>
        <v>0</v>
      </c>
      <c r="K28" s="6">
        <f t="shared" si="1"/>
        <v>1</v>
      </c>
    </row>
    <row r="29" spans="1:11" ht="15.75" customHeight="1">
      <c r="A29" s="45">
        <v>28</v>
      </c>
      <c r="B29" s="40" t="s">
        <v>38</v>
      </c>
      <c r="C29" s="40" t="s">
        <v>84</v>
      </c>
      <c r="D29" s="40" t="s">
        <v>85</v>
      </c>
      <c r="E29" s="44" t="s">
        <v>86</v>
      </c>
      <c r="F29" s="40" t="s">
        <v>12</v>
      </c>
      <c r="G29" s="37" t="s">
        <v>31</v>
      </c>
      <c r="H29" s="47">
        <v>20</v>
      </c>
      <c r="I29" s="49">
        <v>20</v>
      </c>
      <c r="J29" s="7">
        <f t="shared" si="0"/>
        <v>0</v>
      </c>
      <c r="K29" s="6">
        <f t="shared" si="1"/>
        <v>1</v>
      </c>
    </row>
    <row r="30" spans="1:11" ht="15.75" customHeight="1">
      <c r="A30" s="45">
        <v>29</v>
      </c>
      <c r="B30" s="40" t="s">
        <v>38</v>
      </c>
      <c r="C30" s="40" t="s">
        <v>84</v>
      </c>
      <c r="D30" s="40" t="s">
        <v>85</v>
      </c>
      <c r="E30" s="48" t="s">
        <v>87</v>
      </c>
      <c r="F30" s="40" t="s">
        <v>12</v>
      </c>
      <c r="G30" s="37" t="s">
        <v>31</v>
      </c>
      <c r="H30" s="47">
        <v>10</v>
      </c>
      <c r="I30" s="49">
        <v>10</v>
      </c>
      <c r="J30" s="7">
        <f t="shared" si="0"/>
        <v>0</v>
      </c>
      <c r="K30" s="6">
        <f t="shared" si="1"/>
        <v>1</v>
      </c>
    </row>
    <row r="31" spans="1:11" ht="15.75" customHeight="1">
      <c r="A31" s="45">
        <v>30</v>
      </c>
      <c r="B31" s="46" t="s">
        <v>11</v>
      </c>
      <c r="C31" s="48" t="s">
        <v>53</v>
      </c>
      <c r="D31" s="47" t="s">
        <v>88</v>
      </c>
      <c r="E31" s="40" t="s">
        <v>89</v>
      </c>
      <c r="F31" s="40" t="s">
        <v>12</v>
      </c>
      <c r="G31" s="37" t="s">
        <v>29</v>
      </c>
      <c r="H31" s="47">
        <v>5</v>
      </c>
      <c r="I31" s="49">
        <v>5</v>
      </c>
      <c r="J31" s="7">
        <f t="shared" si="0"/>
        <v>0</v>
      </c>
      <c r="K31" s="6">
        <f t="shared" si="1"/>
        <v>1</v>
      </c>
    </row>
    <row r="32" spans="1:11" ht="15.75" customHeight="1">
      <c r="A32" s="45">
        <v>31</v>
      </c>
      <c r="B32" s="46" t="s">
        <v>11</v>
      </c>
      <c r="C32" s="40" t="s">
        <v>62</v>
      </c>
      <c r="D32" s="47" t="s">
        <v>90</v>
      </c>
      <c r="E32" s="40" t="s">
        <v>59</v>
      </c>
      <c r="F32" s="47" t="s">
        <v>12</v>
      </c>
      <c r="G32" s="37" t="s">
        <v>29</v>
      </c>
      <c r="H32" s="47">
        <v>5</v>
      </c>
      <c r="I32" s="49">
        <v>5</v>
      </c>
      <c r="J32" s="7">
        <f t="shared" si="0"/>
        <v>0</v>
      </c>
      <c r="K32" s="6">
        <f t="shared" si="1"/>
        <v>1</v>
      </c>
    </row>
    <row r="33" spans="1:11" ht="15.75" customHeight="1">
      <c r="A33" s="45">
        <v>32</v>
      </c>
      <c r="B33" s="46" t="s">
        <v>11</v>
      </c>
      <c r="C33" s="40" t="s">
        <v>62</v>
      </c>
      <c r="D33" s="47" t="s">
        <v>90</v>
      </c>
      <c r="E33" s="40" t="s">
        <v>60</v>
      </c>
      <c r="F33" s="40" t="s">
        <v>13</v>
      </c>
      <c r="G33" s="37" t="s">
        <v>29</v>
      </c>
      <c r="H33" s="47">
        <v>5</v>
      </c>
      <c r="I33" s="49">
        <v>5</v>
      </c>
      <c r="J33" s="7">
        <f t="shared" si="0"/>
        <v>0</v>
      </c>
      <c r="K33" s="6">
        <f t="shared" si="1"/>
        <v>1</v>
      </c>
    </row>
    <row r="34" spans="1:11" ht="15.75" customHeight="1">
      <c r="A34" s="45">
        <v>33</v>
      </c>
      <c r="B34" s="46" t="s">
        <v>11</v>
      </c>
      <c r="C34" s="40" t="s">
        <v>63</v>
      </c>
      <c r="D34" s="40" t="s">
        <v>64</v>
      </c>
      <c r="E34" s="40" t="s">
        <v>65</v>
      </c>
      <c r="F34" s="40" t="s">
        <v>14</v>
      </c>
      <c r="G34" s="37" t="s">
        <v>29</v>
      </c>
      <c r="H34" s="47">
        <v>5</v>
      </c>
      <c r="I34" s="49">
        <v>5</v>
      </c>
      <c r="J34" s="7">
        <f t="shared" si="0"/>
        <v>0</v>
      </c>
      <c r="K34" s="6">
        <f t="shared" si="1"/>
        <v>1</v>
      </c>
    </row>
    <row r="35" spans="1:11" ht="15.75" customHeight="1">
      <c r="A35" s="45">
        <v>34</v>
      </c>
      <c r="B35" s="40"/>
      <c r="C35" s="40"/>
      <c r="D35" s="40"/>
      <c r="E35" s="40"/>
      <c r="F35" s="40"/>
      <c r="G35" s="37"/>
      <c r="H35" s="47"/>
      <c r="I35" s="49"/>
      <c r="J35" s="7">
        <f t="shared" si="0"/>
        <v>0</v>
      </c>
      <c r="K35" s="6" t="e">
        <f t="shared" si="1"/>
        <v>#DIV/0!</v>
      </c>
    </row>
    <row r="36" spans="1:11" ht="15.75" customHeight="1">
      <c r="A36" s="45">
        <v>35</v>
      </c>
      <c r="B36" s="40"/>
      <c r="C36" s="40"/>
      <c r="D36" s="40"/>
      <c r="E36" s="40"/>
      <c r="F36" s="40"/>
      <c r="G36" s="37"/>
      <c r="H36" s="47"/>
      <c r="I36" s="49"/>
      <c r="J36" s="7"/>
      <c r="K36" s="6"/>
    </row>
    <row r="37" spans="1:11" ht="15.75" customHeight="1">
      <c r="A37" s="45">
        <v>36</v>
      </c>
      <c r="B37" s="40"/>
      <c r="C37" s="40"/>
      <c r="D37" s="40"/>
      <c r="E37" s="40"/>
      <c r="F37" s="40"/>
      <c r="G37" s="37"/>
      <c r="H37" s="47"/>
      <c r="I37" s="49"/>
      <c r="J37" s="7"/>
      <c r="K37" s="6"/>
    </row>
    <row r="38" spans="1:11" ht="15.75" customHeight="1">
      <c r="A38" s="45">
        <v>37</v>
      </c>
      <c r="B38" s="40"/>
      <c r="C38" s="40"/>
      <c r="D38" s="40"/>
      <c r="E38" s="40"/>
      <c r="F38" s="40"/>
      <c r="G38" s="37"/>
      <c r="H38" s="47"/>
      <c r="I38" s="49"/>
      <c r="J38" s="7"/>
      <c r="K38" s="6"/>
    </row>
    <row r="39" spans="1:11" ht="15.75" customHeight="1">
      <c r="A39" s="45">
        <v>38</v>
      </c>
      <c r="B39" s="40"/>
      <c r="C39" s="40"/>
      <c r="D39" s="40"/>
      <c r="E39" s="41"/>
      <c r="F39" s="41"/>
      <c r="G39" s="37"/>
      <c r="H39" s="47"/>
      <c r="I39" s="49"/>
      <c r="J39" s="7"/>
      <c r="K39" s="6"/>
    </row>
    <row r="40" spans="1:11" ht="15.75" customHeight="1">
      <c r="A40" s="45">
        <v>39</v>
      </c>
      <c r="B40" s="40"/>
      <c r="C40" s="40"/>
      <c r="D40" s="40"/>
      <c r="E40" s="40"/>
      <c r="F40" s="40"/>
      <c r="G40" s="37"/>
      <c r="H40" s="47"/>
      <c r="I40" s="49"/>
      <c r="J40" s="7"/>
      <c r="K40" s="6"/>
    </row>
    <row r="41" spans="1:11" ht="15.75" customHeight="1">
      <c r="A41" s="45">
        <v>40</v>
      </c>
      <c r="B41" s="40"/>
      <c r="C41" s="40"/>
      <c r="D41" s="40"/>
      <c r="E41" s="40"/>
      <c r="F41" s="40"/>
      <c r="G41" s="37"/>
      <c r="H41" s="47"/>
      <c r="I41" s="49"/>
      <c r="J41" s="7"/>
      <c r="K41" s="6"/>
    </row>
    <row r="42" spans="1:11" ht="15.75" customHeight="1">
      <c r="A42" s="45">
        <v>41</v>
      </c>
      <c r="B42" s="40"/>
      <c r="C42" s="41"/>
      <c r="D42" s="41"/>
      <c r="E42" s="41"/>
      <c r="F42" s="41"/>
      <c r="G42" s="37"/>
      <c r="H42" s="47"/>
      <c r="I42" s="49"/>
      <c r="J42" s="7"/>
      <c r="K42" s="6"/>
    </row>
    <row r="43" spans="1:11" ht="15.75" customHeight="1">
      <c r="A43" s="45">
        <v>42</v>
      </c>
      <c r="B43" s="40"/>
      <c r="C43" s="41"/>
      <c r="D43" s="41"/>
      <c r="E43" s="41"/>
      <c r="F43" s="42"/>
      <c r="G43" s="37"/>
      <c r="H43" s="47"/>
      <c r="I43" s="49"/>
      <c r="J43" s="7"/>
      <c r="K43" s="6"/>
    </row>
    <row r="44" spans="1:11" ht="15.75" customHeight="1">
      <c r="A44" s="45">
        <v>43</v>
      </c>
      <c r="B44" s="40"/>
      <c r="C44" s="41"/>
      <c r="D44" s="41"/>
      <c r="E44" s="41"/>
      <c r="F44" s="42"/>
      <c r="G44" s="37"/>
      <c r="H44" s="47"/>
      <c r="I44" s="49"/>
      <c r="J44" s="7"/>
      <c r="K44" s="6"/>
    </row>
    <row r="45" spans="1:11" ht="15.75" customHeight="1">
      <c r="A45" s="45">
        <v>44</v>
      </c>
      <c r="B45" s="40"/>
      <c r="C45" s="40"/>
      <c r="D45" s="40"/>
      <c r="E45" s="40"/>
      <c r="F45" s="41"/>
      <c r="G45" s="37"/>
      <c r="H45" s="47"/>
      <c r="I45" s="49"/>
      <c r="J45" s="7"/>
      <c r="K45" s="6"/>
    </row>
    <row r="46" spans="1:11" ht="15.75" customHeight="1">
      <c r="A46" s="45">
        <v>45</v>
      </c>
      <c r="B46" s="40"/>
      <c r="C46" s="41"/>
      <c r="D46" s="41"/>
      <c r="E46" s="41"/>
      <c r="F46" s="42"/>
      <c r="G46" s="37"/>
      <c r="H46" s="47"/>
      <c r="I46" s="49"/>
      <c r="J46" s="7"/>
      <c r="K46" s="6"/>
    </row>
    <row r="47" spans="1:11" ht="15.75" customHeight="1">
      <c r="A47" s="45">
        <v>46</v>
      </c>
      <c r="B47" s="40"/>
      <c r="C47" s="41"/>
      <c r="D47" s="41"/>
      <c r="E47" s="41"/>
      <c r="F47" s="41"/>
      <c r="G47" s="37"/>
      <c r="H47" s="47"/>
      <c r="I47" s="49"/>
      <c r="J47" s="7"/>
      <c r="K47" s="6"/>
    </row>
    <row r="48" spans="1:11" ht="15.75" customHeight="1">
      <c r="A48" s="45">
        <v>47</v>
      </c>
      <c r="B48" s="40"/>
      <c r="C48" s="41"/>
      <c r="D48" s="41"/>
      <c r="E48" s="41"/>
      <c r="F48" s="41"/>
      <c r="G48" s="37"/>
      <c r="H48" s="47"/>
      <c r="I48" s="49"/>
      <c r="J48" s="7"/>
      <c r="K48" s="6"/>
    </row>
    <row r="49" spans="1:11" ht="15.75" customHeight="1">
      <c r="A49" s="45">
        <v>48</v>
      </c>
      <c r="B49" s="40"/>
      <c r="C49" s="40"/>
      <c r="D49" s="40"/>
      <c r="E49" s="40"/>
      <c r="F49" s="40"/>
      <c r="G49" s="37"/>
      <c r="H49" s="47"/>
      <c r="I49" s="49"/>
      <c r="J49" s="7"/>
      <c r="K49" s="6"/>
    </row>
    <row r="50" spans="1:11" ht="15.75" customHeight="1">
      <c r="A50" s="45">
        <v>49</v>
      </c>
      <c r="B50" s="40"/>
      <c r="C50" s="40"/>
      <c r="D50" s="40"/>
      <c r="E50" s="40"/>
      <c r="F50" s="40"/>
      <c r="G50" s="37"/>
      <c r="H50" s="47"/>
      <c r="I50" s="49"/>
      <c r="J50" s="7"/>
      <c r="K50" s="6"/>
    </row>
    <row r="51" spans="1:11" ht="15.75" customHeight="1">
      <c r="A51" s="45">
        <v>50</v>
      </c>
      <c r="B51" s="40"/>
      <c r="C51" s="41"/>
      <c r="D51" s="41"/>
      <c r="E51" s="41"/>
      <c r="F51" s="41"/>
      <c r="G51" s="37"/>
      <c r="H51" s="47"/>
      <c r="I51" s="49"/>
      <c r="J51" s="7"/>
      <c r="K51" s="6"/>
    </row>
    <row r="52" spans="1:11" ht="15.75" customHeight="1">
      <c r="A52" s="45">
        <v>51</v>
      </c>
      <c r="B52" s="40"/>
      <c r="C52" s="41"/>
      <c r="D52" s="41"/>
      <c r="E52" s="41"/>
      <c r="F52" s="41"/>
      <c r="G52" s="37"/>
      <c r="H52" s="47"/>
      <c r="I52" s="49"/>
      <c r="J52" s="7"/>
      <c r="K52" s="6"/>
    </row>
    <row r="53" spans="1:11" ht="15.75" customHeight="1">
      <c r="A53" s="45">
        <v>52</v>
      </c>
      <c r="B53" s="40"/>
      <c r="C53" s="41"/>
      <c r="D53" s="41"/>
      <c r="E53" s="41"/>
      <c r="F53" s="41"/>
      <c r="G53" s="37"/>
      <c r="H53" s="47"/>
      <c r="I53" s="49"/>
      <c r="J53" s="7"/>
      <c r="K53" s="6"/>
    </row>
    <row r="54" spans="1:11" ht="15.75" customHeight="1">
      <c r="A54" s="45">
        <v>53</v>
      </c>
      <c r="B54" s="40"/>
      <c r="C54" s="40"/>
      <c r="D54" s="40"/>
      <c r="E54" s="40"/>
      <c r="F54" s="40"/>
      <c r="G54" s="47"/>
      <c r="H54" s="47"/>
      <c r="I54" s="49"/>
      <c r="J54" s="7"/>
      <c r="K54" s="6"/>
    </row>
    <row r="55" spans="1:11" ht="15.75" customHeight="1">
      <c r="A55" s="45">
        <v>54</v>
      </c>
      <c r="B55" s="40"/>
      <c r="C55" s="40"/>
      <c r="D55" s="40"/>
      <c r="E55" s="40"/>
      <c r="F55" s="40"/>
      <c r="G55" s="47"/>
      <c r="H55" s="47"/>
      <c r="I55" s="49"/>
      <c r="J55" s="7"/>
      <c r="K55" s="6"/>
    </row>
    <row r="56" spans="1:11" ht="15.75" customHeight="1">
      <c r="A56" s="45">
        <v>55</v>
      </c>
      <c r="B56" s="40"/>
      <c r="C56" s="40"/>
      <c r="D56" s="40"/>
      <c r="E56" s="40"/>
      <c r="F56" s="40"/>
      <c r="G56" s="47"/>
      <c r="H56" s="47"/>
      <c r="I56" s="49"/>
      <c r="J56" s="7"/>
      <c r="K56" s="6"/>
    </row>
    <row r="57" spans="1:11" ht="15.75" customHeight="1">
      <c r="A57" s="45">
        <v>56</v>
      </c>
      <c r="B57" s="40"/>
      <c r="C57" s="40"/>
      <c r="D57" s="40"/>
      <c r="E57" s="40"/>
      <c r="F57" s="40"/>
      <c r="G57" s="47"/>
      <c r="H57" s="47"/>
      <c r="I57" s="49"/>
      <c r="J57" s="7"/>
      <c r="K57" s="6"/>
    </row>
    <row r="58" spans="1:11" ht="15.75" customHeight="1">
      <c r="A58" s="45">
        <v>57</v>
      </c>
      <c r="B58" s="40"/>
      <c r="C58" s="40"/>
      <c r="D58" s="40"/>
      <c r="E58" s="40"/>
      <c r="F58" s="40"/>
      <c r="G58" s="47"/>
      <c r="H58" s="47"/>
      <c r="I58" s="49"/>
      <c r="J58" s="7"/>
      <c r="K58" s="6"/>
    </row>
    <row r="59" spans="1:11" ht="15.75" customHeight="1">
      <c r="A59" s="45">
        <v>58</v>
      </c>
      <c r="B59" s="40"/>
      <c r="C59" s="40"/>
      <c r="D59" s="40"/>
      <c r="E59" s="40"/>
      <c r="F59" s="40"/>
      <c r="G59" s="47"/>
      <c r="H59" s="47"/>
      <c r="I59" s="49"/>
      <c r="J59" s="7"/>
      <c r="K59" s="6"/>
    </row>
    <row r="60" spans="1:11" ht="15.75" customHeight="1">
      <c r="A60" s="45">
        <v>59</v>
      </c>
      <c r="B60" s="40"/>
      <c r="C60" s="40"/>
      <c r="D60" s="40"/>
      <c r="E60" s="40"/>
      <c r="F60" s="40"/>
      <c r="G60" s="47"/>
      <c r="H60" s="47"/>
      <c r="I60" s="49"/>
      <c r="J60" s="7"/>
      <c r="K60" s="6"/>
    </row>
    <row r="61" spans="1:11" ht="15.75" customHeight="1">
      <c r="A61" s="45">
        <v>60</v>
      </c>
      <c r="B61" s="40"/>
      <c r="C61" s="40"/>
      <c r="D61" s="40"/>
      <c r="E61" s="40"/>
      <c r="F61" s="40"/>
      <c r="G61" s="47"/>
      <c r="H61" s="47"/>
      <c r="I61" s="49"/>
      <c r="J61" s="7"/>
      <c r="K61" s="6"/>
    </row>
    <row r="62" spans="1:11" ht="15.75" customHeight="1">
      <c r="A62" s="45">
        <v>61</v>
      </c>
      <c r="B62" s="40"/>
      <c r="C62" s="40"/>
      <c r="D62" s="40"/>
      <c r="E62" s="40"/>
      <c r="F62" s="40"/>
      <c r="G62" s="47"/>
      <c r="H62" s="47"/>
      <c r="I62" s="49"/>
      <c r="J62" s="7"/>
      <c r="K62" s="6"/>
    </row>
    <row r="63" spans="1:11" ht="15.75" customHeight="1">
      <c r="A63" s="45">
        <v>62</v>
      </c>
      <c r="B63" s="40"/>
      <c r="C63" s="40"/>
      <c r="D63" s="40"/>
      <c r="E63" s="40"/>
      <c r="F63" s="40"/>
      <c r="G63" s="47"/>
      <c r="H63" s="47"/>
      <c r="I63" s="49"/>
      <c r="J63" s="7"/>
      <c r="K63" s="6"/>
    </row>
    <row r="64" spans="1:11" ht="15.75" customHeight="1">
      <c r="A64" s="45">
        <v>63</v>
      </c>
      <c r="B64" s="40"/>
      <c r="C64" s="40"/>
      <c r="D64" s="40"/>
      <c r="E64" s="40"/>
      <c r="F64" s="40"/>
      <c r="G64" s="47"/>
      <c r="H64" s="47"/>
      <c r="I64" s="49"/>
      <c r="J64" s="7"/>
      <c r="K64" s="6"/>
    </row>
    <row r="65" spans="1:11" ht="15.75" customHeight="1">
      <c r="A65" s="45">
        <v>64</v>
      </c>
      <c r="B65" s="40"/>
      <c r="C65" s="40"/>
      <c r="D65" s="40"/>
      <c r="E65" s="40"/>
      <c r="F65" s="40"/>
      <c r="G65" s="47"/>
      <c r="H65" s="47"/>
      <c r="I65" s="49"/>
      <c r="J65" s="7"/>
      <c r="K65" s="6"/>
    </row>
    <row r="66" spans="1:11" ht="15.75" customHeight="1">
      <c r="A66" s="45">
        <v>65</v>
      </c>
      <c r="B66" s="40"/>
      <c r="C66" s="40"/>
      <c r="D66" s="40"/>
      <c r="E66" s="40"/>
      <c r="F66" s="40"/>
      <c r="G66" s="47"/>
      <c r="H66" s="47"/>
      <c r="I66" s="49"/>
      <c r="J66" s="7"/>
      <c r="K66" s="6"/>
    </row>
    <row r="67" spans="1:11" ht="15.75" customHeight="1">
      <c r="A67" s="45">
        <v>66</v>
      </c>
      <c r="B67" s="40"/>
      <c r="C67" s="40"/>
      <c r="D67" s="40"/>
      <c r="E67" s="40"/>
      <c r="F67" s="40"/>
      <c r="G67" s="47"/>
      <c r="H67" s="47"/>
      <c r="I67" s="49"/>
      <c r="J67" s="7"/>
      <c r="K67" s="6"/>
    </row>
    <row r="68" spans="1:11" ht="15.75" customHeight="1">
      <c r="A68" s="45">
        <v>67</v>
      </c>
      <c r="B68" s="40"/>
      <c r="C68" s="40"/>
      <c r="D68" s="40"/>
      <c r="E68" s="40"/>
      <c r="F68" s="40"/>
      <c r="G68" s="47"/>
      <c r="H68" s="47"/>
      <c r="I68" s="49"/>
      <c r="J68" s="7"/>
      <c r="K68" s="6"/>
    </row>
    <row r="69" spans="1:11" ht="15.75" customHeight="1">
      <c r="A69" s="45">
        <v>68</v>
      </c>
      <c r="B69" s="40"/>
      <c r="C69" s="40"/>
      <c r="D69" s="40"/>
      <c r="E69" s="40"/>
      <c r="F69" s="40"/>
      <c r="G69" s="47"/>
      <c r="H69" s="47"/>
      <c r="I69" s="49"/>
      <c r="J69" s="7"/>
      <c r="K69" s="6"/>
    </row>
    <row r="70" spans="1:11" ht="15.75" customHeight="1">
      <c r="A70" s="45">
        <v>69</v>
      </c>
      <c r="B70" s="40"/>
      <c r="C70" s="40"/>
      <c r="D70" s="40"/>
      <c r="E70" s="40"/>
      <c r="F70" s="40"/>
      <c r="G70" s="47"/>
      <c r="H70" s="47"/>
      <c r="I70" s="49"/>
      <c r="J70" s="7"/>
      <c r="K70" s="6"/>
    </row>
    <row r="71" spans="1:11" ht="15.75" customHeight="1">
      <c r="A71" s="45">
        <v>70</v>
      </c>
      <c r="B71" s="40"/>
      <c r="C71" s="40"/>
      <c r="D71" s="40"/>
      <c r="E71" s="40"/>
      <c r="F71" s="40"/>
      <c r="G71" s="47"/>
      <c r="H71" s="47"/>
      <c r="I71" s="49"/>
      <c r="J71" s="7"/>
      <c r="K71" s="6"/>
    </row>
    <row r="72" spans="1:11" ht="15.75" customHeight="1">
      <c r="A72" s="45">
        <v>71</v>
      </c>
      <c r="B72" s="40"/>
      <c r="C72" s="40"/>
      <c r="D72" s="40"/>
      <c r="E72" s="40"/>
      <c r="F72" s="40"/>
      <c r="G72" s="47"/>
      <c r="H72" s="47"/>
      <c r="I72" s="49"/>
      <c r="J72" s="7"/>
      <c r="K72" s="6"/>
    </row>
    <row r="73" spans="1:11" ht="15.75" customHeight="1">
      <c r="A73" s="45">
        <v>72</v>
      </c>
      <c r="B73" s="40"/>
      <c r="C73" s="40"/>
      <c r="D73" s="40"/>
      <c r="E73" s="40"/>
      <c r="F73" s="40"/>
      <c r="G73" s="47"/>
      <c r="H73" s="47"/>
      <c r="I73" s="49"/>
      <c r="J73" s="7"/>
      <c r="K73" s="6"/>
    </row>
    <row r="74" spans="1:11" ht="15.75" customHeight="1">
      <c r="A74" s="45">
        <v>73</v>
      </c>
      <c r="B74" s="40"/>
      <c r="C74" s="40"/>
      <c r="D74" s="40"/>
      <c r="E74" s="40"/>
      <c r="F74" s="40"/>
      <c r="G74" s="47"/>
      <c r="H74" s="47"/>
      <c r="I74" s="49"/>
      <c r="J74" s="7"/>
      <c r="K74" s="6"/>
    </row>
    <row r="75" spans="1:11" ht="15.75" customHeight="1">
      <c r="A75" s="45">
        <v>74</v>
      </c>
      <c r="B75" s="40"/>
      <c r="C75" s="40"/>
      <c r="D75" s="40"/>
      <c r="E75" s="40"/>
      <c r="F75" s="40"/>
      <c r="G75" s="47"/>
      <c r="H75" s="47"/>
      <c r="I75" s="49"/>
      <c r="J75" s="7"/>
      <c r="K75" s="6"/>
    </row>
    <row r="76" spans="1:11" ht="15.75" customHeight="1">
      <c r="A76" s="45">
        <v>75</v>
      </c>
      <c r="B76" s="40"/>
      <c r="C76" s="40"/>
      <c r="D76" s="40"/>
      <c r="E76" s="40"/>
      <c r="F76" s="40"/>
      <c r="G76" s="47"/>
      <c r="H76" s="47"/>
      <c r="I76" s="49"/>
      <c r="J76" s="7"/>
      <c r="K76" s="6"/>
    </row>
    <row r="77" spans="1:11" ht="15.75" customHeight="1">
      <c r="A77" s="45">
        <v>76</v>
      </c>
      <c r="B77" s="40"/>
      <c r="C77" s="40"/>
      <c r="D77" s="40"/>
      <c r="E77" s="40"/>
      <c r="F77" s="40"/>
      <c r="G77" s="47"/>
      <c r="H77" s="47"/>
      <c r="I77" s="49"/>
      <c r="J77" s="7"/>
      <c r="K77" s="6"/>
    </row>
    <row r="78" spans="1:11" ht="15.75" customHeight="1">
      <c r="A78" s="45">
        <v>77</v>
      </c>
      <c r="B78" s="40"/>
      <c r="C78" s="40"/>
      <c r="D78" s="40"/>
      <c r="E78" s="40"/>
      <c r="F78" s="40"/>
      <c r="G78" s="47"/>
      <c r="H78" s="47"/>
      <c r="I78" s="49"/>
      <c r="J78" s="7"/>
      <c r="K78" s="6"/>
    </row>
    <row r="79" spans="1:11" ht="15.75" customHeight="1">
      <c r="A79" s="45">
        <v>78</v>
      </c>
      <c r="B79" s="40"/>
      <c r="C79" s="40"/>
      <c r="D79" s="40"/>
      <c r="E79" s="40"/>
      <c r="F79" s="40"/>
      <c r="G79" s="47"/>
      <c r="H79" s="47"/>
      <c r="I79" s="49"/>
      <c r="J79" s="7"/>
      <c r="K79" s="6"/>
    </row>
    <row r="80" spans="1:11" ht="15.75" customHeight="1">
      <c r="A80" s="45">
        <v>79</v>
      </c>
      <c r="B80" s="40"/>
      <c r="C80" s="40"/>
      <c r="D80" s="40"/>
      <c r="E80" s="40"/>
      <c r="F80" s="40"/>
      <c r="G80" s="47"/>
      <c r="H80" s="47"/>
      <c r="I80" s="49"/>
      <c r="J80" s="7"/>
      <c r="K80" s="6"/>
    </row>
    <row r="81" spans="1:11" ht="15.75" customHeight="1">
      <c r="A81" s="45">
        <v>80</v>
      </c>
      <c r="B81" s="40"/>
      <c r="C81" s="40"/>
      <c r="D81" s="40"/>
      <c r="E81" s="40"/>
      <c r="F81" s="40"/>
      <c r="G81" s="47"/>
      <c r="H81" s="47"/>
      <c r="I81" s="49"/>
      <c r="J81" s="7"/>
      <c r="K81" s="6"/>
    </row>
    <row r="82" spans="1:11" ht="15.75" customHeight="1">
      <c r="A82" s="45">
        <v>81</v>
      </c>
      <c r="B82" s="40"/>
      <c r="C82" s="40"/>
      <c r="D82" s="40"/>
      <c r="E82" s="40"/>
      <c r="F82" s="40"/>
      <c r="G82" s="47"/>
      <c r="H82" s="47"/>
      <c r="I82" s="49"/>
      <c r="J82" s="7"/>
      <c r="K82" s="6"/>
    </row>
    <row r="83" spans="1:11" ht="15.75" customHeight="1">
      <c r="A83" s="45">
        <v>82</v>
      </c>
      <c r="B83" s="40"/>
      <c r="C83" s="40"/>
      <c r="D83" s="40"/>
      <c r="E83" s="40"/>
      <c r="F83" s="40"/>
      <c r="G83" s="47"/>
      <c r="H83" s="47"/>
      <c r="I83" s="49"/>
      <c r="J83" s="7"/>
      <c r="K83" s="6"/>
    </row>
    <row r="84" spans="1:11" ht="15.75" customHeight="1">
      <c r="A84" s="45">
        <v>83</v>
      </c>
      <c r="B84" s="40"/>
      <c r="C84" s="40"/>
      <c r="D84" s="40"/>
      <c r="E84" s="40"/>
      <c r="F84" s="40"/>
      <c r="G84" s="47"/>
      <c r="H84" s="47"/>
      <c r="I84" s="49"/>
      <c r="J84" s="7"/>
      <c r="K84" s="6"/>
    </row>
    <row r="85" spans="1:11" ht="15.75" customHeight="1">
      <c r="A85" s="45">
        <v>84</v>
      </c>
      <c r="B85" s="40"/>
      <c r="C85" s="40"/>
      <c r="D85" s="40"/>
      <c r="E85" s="40"/>
      <c r="F85" s="40"/>
      <c r="G85" s="47"/>
      <c r="H85" s="47"/>
      <c r="I85" s="49"/>
      <c r="J85" s="7"/>
      <c r="K85" s="6"/>
    </row>
    <row r="86" spans="1:11" ht="15.75" customHeight="1">
      <c r="A86" s="45">
        <v>85</v>
      </c>
      <c r="B86" s="40"/>
      <c r="C86" s="40"/>
      <c r="D86" s="40"/>
      <c r="E86" s="40"/>
      <c r="F86" s="40"/>
      <c r="G86" s="47"/>
      <c r="H86" s="47"/>
      <c r="I86" s="49"/>
      <c r="J86" s="7"/>
      <c r="K86" s="6"/>
    </row>
    <row r="87" spans="1:11" ht="15.75" customHeight="1">
      <c r="A87" s="45">
        <v>86</v>
      </c>
      <c r="B87" s="40"/>
      <c r="C87" s="40"/>
      <c r="D87" s="40"/>
      <c r="E87" s="40"/>
      <c r="F87" s="40"/>
      <c r="G87" s="47"/>
      <c r="H87" s="47"/>
      <c r="I87" s="49"/>
      <c r="J87" s="7"/>
      <c r="K87" s="6"/>
    </row>
    <row r="88" spans="1:11" ht="15.75" customHeight="1">
      <c r="A88" s="45">
        <v>87</v>
      </c>
      <c r="B88" s="40"/>
      <c r="C88" s="40"/>
      <c r="D88" s="40"/>
      <c r="E88" s="40"/>
      <c r="F88" s="40"/>
      <c r="G88" s="47"/>
      <c r="H88" s="47"/>
      <c r="I88" s="49"/>
      <c r="J88" s="7"/>
      <c r="K88" s="6"/>
    </row>
    <row r="89" spans="1:11" ht="15.75" customHeight="1">
      <c r="A89" s="45">
        <v>88</v>
      </c>
      <c r="B89" s="40"/>
      <c r="C89" s="40"/>
      <c r="D89" s="40"/>
      <c r="E89" s="40"/>
      <c r="F89" s="40"/>
      <c r="G89" s="47"/>
      <c r="H89" s="47"/>
      <c r="I89" s="49"/>
      <c r="J89" s="7"/>
      <c r="K89" s="6"/>
    </row>
    <row r="90" spans="1:11" ht="15.75" customHeight="1">
      <c r="A90" s="45">
        <v>89</v>
      </c>
      <c r="B90" s="40"/>
      <c r="C90" s="40"/>
      <c r="D90" s="40"/>
      <c r="E90" s="40"/>
      <c r="F90" s="40"/>
      <c r="G90" s="47"/>
      <c r="H90" s="47"/>
      <c r="I90" s="49"/>
      <c r="J90" s="7"/>
      <c r="K90" s="6"/>
    </row>
    <row r="91" spans="1:11" ht="15.75" customHeight="1">
      <c r="A91" s="45">
        <v>90</v>
      </c>
      <c r="B91" s="40"/>
      <c r="C91" s="40"/>
      <c r="D91" s="40"/>
      <c r="E91" s="40"/>
      <c r="F91" s="40"/>
      <c r="G91" s="47"/>
      <c r="H91" s="47"/>
      <c r="I91" s="49"/>
      <c r="J91" s="7"/>
      <c r="K91" s="6"/>
    </row>
    <row r="92" spans="1:11" ht="15.75" customHeight="1">
      <c r="A92" s="45">
        <v>91</v>
      </c>
      <c r="B92" s="40"/>
      <c r="C92" s="40"/>
      <c r="D92" s="40"/>
      <c r="E92" s="40"/>
      <c r="F92" s="40"/>
      <c r="G92" s="47"/>
      <c r="H92" s="47"/>
      <c r="I92" s="49"/>
      <c r="J92" s="7"/>
      <c r="K92" s="6"/>
    </row>
    <row r="93" spans="1:11" ht="15.75" customHeight="1">
      <c r="A93" s="45">
        <v>92</v>
      </c>
      <c r="B93" s="40"/>
      <c r="C93" s="40"/>
      <c r="D93" s="40"/>
      <c r="E93" s="40"/>
      <c r="F93" s="40"/>
      <c r="G93" s="47"/>
      <c r="H93" s="47"/>
      <c r="I93" s="49"/>
      <c r="J93" s="7"/>
      <c r="K93" s="6"/>
    </row>
    <row r="94" spans="1:11" ht="15.75" customHeight="1">
      <c r="A94" s="45">
        <v>93</v>
      </c>
      <c r="B94" s="40"/>
      <c r="C94" s="40"/>
      <c r="D94" s="40"/>
      <c r="E94" s="40"/>
      <c r="F94" s="40"/>
      <c r="G94" s="47"/>
      <c r="H94" s="47"/>
      <c r="I94" s="49"/>
      <c r="J94" s="7"/>
      <c r="K94" s="6"/>
    </row>
    <row r="95" spans="1:11" ht="15.75" customHeight="1">
      <c r="A95" s="45">
        <v>94</v>
      </c>
      <c r="B95" s="40"/>
      <c r="C95" s="40"/>
      <c r="D95" s="40"/>
      <c r="E95" s="40"/>
      <c r="F95" s="40"/>
      <c r="G95" s="47"/>
      <c r="H95" s="47"/>
      <c r="I95" s="49"/>
      <c r="J95" s="7"/>
      <c r="K95" s="6"/>
    </row>
    <row r="96" spans="1:11" ht="15.75" customHeight="1">
      <c r="A96" s="45">
        <v>95</v>
      </c>
      <c r="B96" s="40"/>
      <c r="C96" s="40"/>
      <c r="D96" s="40"/>
      <c r="E96" s="40"/>
      <c r="F96" s="40"/>
      <c r="G96" s="47"/>
      <c r="H96" s="47"/>
      <c r="I96" s="49"/>
      <c r="J96" s="7"/>
      <c r="K96" s="6"/>
    </row>
    <row r="97" spans="1:11" ht="15.75" customHeight="1">
      <c r="A97" s="45">
        <v>96</v>
      </c>
      <c r="B97" s="40"/>
      <c r="C97" s="40"/>
      <c r="D97" s="40"/>
      <c r="E97" s="40"/>
      <c r="F97" s="40"/>
      <c r="G97" s="47"/>
      <c r="H97" s="47"/>
      <c r="I97" s="49"/>
      <c r="J97" s="7"/>
      <c r="K97" s="6"/>
    </row>
    <row r="98" spans="1:11" ht="15.75" customHeight="1">
      <c r="A98" s="45">
        <v>97</v>
      </c>
      <c r="B98" s="40"/>
      <c r="C98" s="40"/>
      <c r="D98" s="40"/>
      <c r="E98" s="40"/>
      <c r="F98" s="40"/>
      <c r="G98" s="47"/>
      <c r="H98" s="47"/>
      <c r="I98" s="49"/>
      <c r="J98" s="7"/>
      <c r="K98" s="6"/>
    </row>
    <row r="99" spans="1:11" ht="15.75" customHeight="1">
      <c r="A99" s="45">
        <v>98</v>
      </c>
      <c r="B99" s="40"/>
      <c r="C99" s="40"/>
      <c r="D99" s="40"/>
      <c r="E99" s="40"/>
      <c r="F99" s="40"/>
      <c r="G99" s="47"/>
      <c r="H99" s="47"/>
      <c r="I99" s="49"/>
      <c r="J99" s="7"/>
      <c r="K99" s="6"/>
    </row>
    <row r="100" spans="1:11" ht="15.75" customHeight="1">
      <c r="A100" s="45">
        <v>99</v>
      </c>
      <c r="B100" s="40"/>
      <c r="C100" s="40"/>
      <c r="D100" s="40"/>
      <c r="E100" s="40"/>
      <c r="F100" s="40"/>
      <c r="G100" s="47"/>
      <c r="H100" s="47"/>
      <c r="I100" s="49"/>
      <c r="J100" s="7"/>
      <c r="K100" s="6"/>
    </row>
    <row r="101" spans="1:11" ht="15.75" customHeight="1">
      <c r="A101" s="45">
        <v>100</v>
      </c>
      <c r="B101" s="40"/>
      <c r="C101" s="40"/>
      <c r="D101" s="40"/>
      <c r="E101" s="40"/>
      <c r="F101" s="40"/>
      <c r="G101" s="47"/>
      <c r="H101" s="47"/>
      <c r="I101" s="49"/>
      <c r="J101" s="7"/>
      <c r="K101" s="6"/>
    </row>
    <row r="102" spans="1:11" ht="15.75" customHeight="1">
      <c r="A102" s="45">
        <v>101</v>
      </c>
      <c r="B102" s="40"/>
      <c r="C102" s="40"/>
      <c r="D102" s="40"/>
      <c r="E102" s="40"/>
      <c r="F102" s="40"/>
      <c r="G102" s="47"/>
      <c r="H102" s="47"/>
      <c r="I102" s="49"/>
      <c r="J102" s="7"/>
      <c r="K102" s="6"/>
    </row>
    <row r="103" spans="1:11" ht="15.75" customHeight="1">
      <c r="A103" s="45">
        <v>102</v>
      </c>
      <c r="B103" s="40"/>
      <c r="C103" s="40"/>
      <c r="D103" s="40"/>
      <c r="E103" s="40"/>
      <c r="F103" s="40"/>
      <c r="G103" s="47"/>
      <c r="H103" s="47"/>
      <c r="I103" s="49"/>
      <c r="J103" s="7"/>
      <c r="K103" s="6"/>
    </row>
    <row r="104" spans="1:11" ht="15.75" customHeight="1">
      <c r="A104" s="45">
        <v>103</v>
      </c>
      <c r="B104" s="40"/>
      <c r="C104" s="40"/>
      <c r="D104" s="40"/>
      <c r="E104" s="40"/>
      <c r="F104" s="40"/>
      <c r="G104" s="47"/>
      <c r="H104" s="47"/>
      <c r="I104" s="49"/>
      <c r="J104" s="7"/>
      <c r="K104" s="6"/>
    </row>
    <row r="105" spans="1:11" ht="15.75" customHeight="1">
      <c r="A105" s="45">
        <v>104</v>
      </c>
      <c r="B105" s="40"/>
      <c r="C105" s="40"/>
      <c r="D105" s="40"/>
      <c r="E105" s="40"/>
      <c r="F105" s="40"/>
      <c r="G105" s="47"/>
      <c r="H105" s="47"/>
      <c r="I105" s="49"/>
      <c r="J105" s="7"/>
      <c r="K105" s="6"/>
    </row>
    <row r="106" spans="1:11" ht="15.75" customHeight="1">
      <c r="A106" s="45">
        <v>105</v>
      </c>
      <c r="B106" s="40"/>
      <c r="C106" s="40"/>
      <c r="D106" s="40"/>
      <c r="E106" s="40"/>
      <c r="F106" s="40"/>
      <c r="G106" s="47"/>
      <c r="H106" s="47"/>
      <c r="I106" s="49"/>
      <c r="J106" s="7"/>
      <c r="K106" s="6"/>
    </row>
    <row r="107" spans="1:11" ht="15.75" customHeight="1">
      <c r="A107" s="45">
        <v>106</v>
      </c>
      <c r="B107" s="40"/>
      <c r="C107" s="40"/>
      <c r="D107" s="40"/>
      <c r="E107" s="40"/>
      <c r="F107" s="40"/>
      <c r="G107" s="47"/>
      <c r="H107" s="47"/>
      <c r="I107" s="49"/>
      <c r="J107" s="7"/>
      <c r="K107" s="6"/>
    </row>
    <row r="108" spans="1:11" ht="15.75" customHeight="1">
      <c r="A108" s="45">
        <v>107</v>
      </c>
      <c r="B108" s="40"/>
      <c r="C108" s="40"/>
      <c r="D108" s="40"/>
      <c r="E108" s="40"/>
      <c r="F108" s="40"/>
      <c r="G108" s="47"/>
      <c r="H108" s="47"/>
      <c r="I108" s="49"/>
      <c r="J108" s="7"/>
      <c r="K108" s="6"/>
    </row>
    <row r="109" spans="1:11" ht="15.75" customHeight="1">
      <c r="A109" s="45">
        <v>108</v>
      </c>
      <c r="B109" s="40"/>
      <c r="C109" s="40"/>
      <c r="D109" s="40"/>
      <c r="E109" s="40"/>
      <c r="F109" s="40"/>
      <c r="G109" s="47"/>
      <c r="H109" s="47"/>
      <c r="I109" s="49"/>
      <c r="J109" s="7"/>
      <c r="K109" s="6"/>
    </row>
    <row r="110" spans="1:11" ht="15.75" customHeight="1">
      <c r="A110" s="45">
        <v>109</v>
      </c>
      <c r="B110" s="40"/>
      <c r="C110" s="40"/>
      <c r="D110" s="40"/>
      <c r="E110" s="40"/>
      <c r="F110" s="40"/>
      <c r="G110" s="47"/>
      <c r="H110" s="47"/>
      <c r="I110" s="49"/>
      <c r="J110" s="7"/>
      <c r="K110" s="6"/>
    </row>
    <row r="111" spans="1:11" ht="15.75" customHeight="1">
      <c r="A111" s="45">
        <v>110</v>
      </c>
      <c r="B111" s="40"/>
      <c r="C111" s="40"/>
      <c r="D111" s="40"/>
      <c r="E111" s="40"/>
      <c r="F111" s="40"/>
      <c r="G111" s="47"/>
      <c r="H111" s="47"/>
      <c r="I111" s="49"/>
      <c r="J111" s="7"/>
      <c r="K111" s="6"/>
    </row>
    <row r="112" spans="1:11" ht="15.75" customHeight="1">
      <c r="A112" s="45">
        <v>111</v>
      </c>
      <c r="B112" s="40"/>
      <c r="C112" s="40"/>
      <c r="D112" s="40"/>
      <c r="E112" s="40"/>
      <c r="F112" s="40"/>
      <c r="G112" s="47"/>
      <c r="H112" s="47"/>
      <c r="I112" s="49"/>
      <c r="J112" s="7"/>
      <c r="K112" s="6"/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>
      <selection activeCell="B6" sqref="B6"/>
    </sheetView>
  </sheetViews>
  <sheetFormatPr baseColWidth="10" defaultColWidth="12.5703125" defaultRowHeight="15.75" customHeight="1"/>
  <sheetData>
    <row r="1" spans="1:4" ht="12.75">
      <c r="A1" s="17"/>
      <c r="B1" s="18" t="s">
        <v>24</v>
      </c>
      <c r="C1" s="19"/>
      <c r="D1" s="20"/>
    </row>
    <row r="2" spans="1:4" ht="12.75">
      <c r="A2" s="18" t="s">
        <v>6</v>
      </c>
      <c r="B2" s="17" t="s">
        <v>25</v>
      </c>
      <c r="C2" s="21" t="s">
        <v>26</v>
      </c>
      <c r="D2" s="22" t="s">
        <v>27</v>
      </c>
    </row>
    <row r="3" spans="1:4" ht="12.75">
      <c r="A3" s="17" t="s">
        <v>31</v>
      </c>
      <c r="B3" s="23">
        <v>245</v>
      </c>
      <c r="C3" s="24">
        <v>245</v>
      </c>
      <c r="D3" s="25">
        <v>0</v>
      </c>
    </row>
    <row r="4" spans="1:4" ht="12.75">
      <c r="A4" s="26" t="s">
        <v>29</v>
      </c>
      <c r="B4" s="27">
        <v>205</v>
      </c>
      <c r="C4" s="28">
        <v>205</v>
      </c>
      <c r="D4" s="29">
        <v>0</v>
      </c>
    </row>
    <row r="5" spans="1:4" ht="12.75">
      <c r="A5" s="26" t="s">
        <v>28</v>
      </c>
      <c r="B5" s="27"/>
      <c r="C5" s="28"/>
      <c r="D5" s="29">
        <v>0</v>
      </c>
    </row>
    <row r="6" spans="1:4" ht="12.75">
      <c r="A6" s="30" t="s">
        <v>16</v>
      </c>
      <c r="B6" s="31">
        <v>450</v>
      </c>
      <c r="C6" s="32">
        <v>450</v>
      </c>
      <c r="D6" s="33">
        <v>0</v>
      </c>
    </row>
    <row r="7" spans="1:4" ht="12.75"/>
    <row r="12" spans="1:4" ht="12.75">
      <c r="A12" s="8" t="s">
        <v>10</v>
      </c>
      <c r="B12" s="9">
        <f>avancement!D2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>
      <selection activeCell="D23" sqref="D23"/>
    </sheetView>
  </sheetViews>
  <sheetFormatPr baseColWidth="10" defaultColWidth="12.5703125" defaultRowHeight="15.7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</cols>
  <sheetData>
    <row r="1" spans="1:5" ht="15.75" customHeight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</row>
    <row r="2" spans="1:5" ht="15">
      <c r="A2" s="11">
        <f>SUM('liste des taches'!H:H)</f>
        <v>470</v>
      </c>
      <c r="B2" s="11">
        <f>SUM('liste des taches'!I:I)</f>
        <v>470</v>
      </c>
      <c r="C2" s="11">
        <f>SUM('liste des taches'!J:J)</f>
        <v>0</v>
      </c>
      <c r="D2" s="12">
        <f>(B2/(B2+C2))</f>
        <v>1</v>
      </c>
      <c r="E2" s="13">
        <f>((B2+C2)-A2)/A2</f>
        <v>0</v>
      </c>
    </row>
    <row r="3" spans="1:5" ht="15">
      <c r="A3" s="14"/>
      <c r="B3" s="14"/>
      <c r="C3" s="11">
        <f>C2/60</f>
        <v>0</v>
      </c>
      <c r="D3" s="14" t="s">
        <v>22</v>
      </c>
      <c r="E3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8"/>
  <sheetViews>
    <sheetView tabSelected="1" topLeftCell="A27" workbookViewId="0">
      <selection activeCell="C42" sqref="C42"/>
    </sheetView>
  </sheetViews>
  <sheetFormatPr baseColWidth="10" defaultColWidth="12.5703125" defaultRowHeight="15.75" customHeight="1"/>
  <sheetData>
    <row r="1" spans="1:6" ht="15.75" customHeight="1">
      <c r="A1" s="50" t="s">
        <v>0</v>
      </c>
      <c r="B1" s="51" t="s">
        <v>23</v>
      </c>
      <c r="C1" s="15">
        <v>46111</v>
      </c>
      <c r="D1" s="15">
        <v>46112</v>
      </c>
      <c r="E1" s="15"/>
      <c r="F1" s="15"/>
    </row>
    <row r="2" spans="1:6" ht="15">
      <c r="A2" s="16">
        <v>1</v>
      </c>
      <c r="B2" s="16">
        <v>20</v>
      </c>
      <c r="C2" s="16">
        <v>20</v>
      </c>
      <c r="D2" s="16"/>
      <c r="E2" s="16"/>
      <c r="F2" s="52"/>
    </row>
    <row r="3" spans="1:6" ht="15">
      <c r="A3" s="16">
        <v>2</v>
      </c>
      <c r="B3" s="16">
        <v>20</v>
      </c>
      <c r="C3" s="16">
        <v>20</v>
      </c>
      <c r="D3" s="16"/>
      <c r="E3" s="16"/>
      <c r="F3" s="52"/>
    </row>
    <row r="4" spans="1:6" ht="15">
      <c r="A4" s="16">
        <v>3</v>
      </c>
      <c r="B4" s="16">
        <v>20</v>
      </c>
      <c r="C4" s="16">
        <v>20</v>
      </c>
      <c r="D4" s="16"/>
      <c r="E4" s="16"/>
      <c r="F4" s="52"/>
    </row>
    <row r="5" spans="1:6" ht="15">
      <c r="A5" s="16">
        <v>4</v>
      </c>
      <c r="B5" s="16">
        <v>15</v>
      </c>
      <c r="C5" s="16">
        <v>15</v>
      </c>
      <c r="D5" s="16"/>
      <c r="E5" s="16"/>
      <c r="F5" s="52"/>
    </row>
    <row r="6" spans="1:6" ht="15">
      <c r="A6" s="16">
        <v>5</v>
      </c>
      <c r="B6" s="16">
        <v>5</v>
      </c>
      <c r="C6" s="16">
        <v>5</v>
      </c>
      <c r="D6" s="16"/>
      <c r="E6" s="16"/>
      <c r="F6" s="52"/>
    </row>
    <row r="7" spans="1:6" ht="15">
      <c r="A7" s="16">
        <v>6</v>
      </c>
      <c r="B7" s="16">
        <v>10</v>
      </c>
      <c r="C7" s="16">
        <v>15</v>
      </c>
      <c r="D7" s="16"/>
      <c r="E7" s="16"/>
      <c r="F7" s="52"/>
    </row>
    <row r="8" spans="1:6" ht="15">
      <c r="A8" s="16">
        <v>7</v>
      </c>
      <c r="B8" s="16">
        <v>20</v>
      </c>
      <c r="C8" s="16">
        <v>20</v>
      </c>
      <c r="D8" s="16"/>
      <c r="E8" s="16"/>
      <c r="F8" s="52"/>
    </row>
    <row r="9" spans="1:6" ht="15">
      <c r="A9" s="16">
        <v>8</v>
      </c>
      <c r="B9" s="16">
        <v>15</v>
      </c>
      <c r="C9" s="16">
        <v>15</v>
      </c>
      <c r="D9" s="16"/>
      <c r="E9" s="16"/>
      <c r="F9" s="52"/>
    </row>
    <row r="10" spans="1:6" ht="15">
      <c r="A10" s="16">
        <v>9</v>
      </c>
      <c r="B10" s="16">
        <v>5</v>
      </c>
      <c r="C10" s="16">
        <v>5</v>
      </c>
      <c r="D10" s="16"/>
      <c r="E10" s="16"/>
      <c r="F10" s="16"/>
    </row>
    <row r="11" spans="1:6" ht="15.75" customHeight="1">
      <c r="A11" s="16">
        <v>10</v>
      </c>
      <c r="B11" s="16">
        <v>20</v>
      </c>
      <c r="C11" s="16">
        <v>20</v>
      </c>
      <c r="D11" s="16"/>
      <c r="E11" s="16"/>
      <c r="F11" s="52"/>
    </row>
    <row r="12" spans="1:6" ht="15.75" customHeight="1">
      <c r="A12" s="16">
        <v>11</v>
      </c>
      <c r="B12" s="16">
        <v>15</v>
      </c>
      <c r="C12" s="16">
        <v>15</v>
      </c>
      <c r="D12" s="16"/>
      <c r="E12" s="16"/>
      <c r="F12" s="16"/>
    </row>
    <row r="13" spans="1:6" ht="15.75" customHeight="1">
      <c r="A13" s="16">
        <v>12</v>
      </c>
      <c r="B13" s="16">
        <v>15</v>
      </c>
      <c r="C13" s="16">
        <v>15</v>
      </c>
      <c r="D13" s="16"/>
      <c r="E13" s="16"/>
      <c r="F13" s="52"/>
    </row>
    <row r="14" spans="1:6" ht="15.75" customHeight="1">
      <c r="A14" s="16">
        <v>13</v>
      </c>
      <c r="B14" s="16">
        <v>15</v>
      </c>
      <c r="C14" s="16">
        <v>15</v>
      </c>
      <c r="D14" s="16"/>
      <c r="E14" s="16"/>
      <c r="F14" s="52"/>
    </row>
    <row r="15" spans="1:6" ht="15.75" customHeight="1">
      <c r="A15" s="16">
        <v>14</v>
      </c>
      <c r="B15" s="16">
        <v>10</v>
      </c>
      <c r="C15" s="16">
        <v>10</v>
      </c>
      <c r="D15" s="16"/>
      <c r="E15" s="16"/>
      <c r="F15" s="52"/>
    </row>
    <row r="16" spans="1:6" ht="15.75" customHeight="1">
      <c r="A16" s="16">
        <v>15</v>
      </c>
      <c r="B16" s="16">
        <v>10</v>
      </c>
      <c r="C16" s="16">
        <v>10</v>
      </c>
      <c r="D16" s="16"/>
      <c r="E16" s="16"/>
      <c r="F16" s="16"/>
    </row>
    <row r="17" spans="1:6" ht="15.75" customHeight="1">
      <c r="A17" s="16">
        <v>16</v>
      </c>
      <c r="B17" s="16">
        <v>10</v>
      </c>
      <c r="C17" s="16">
        <v>10</v>
      </c>
      <c r="D17" s="16"/>
      <c r="E17" s="16"/>
      <c r="F17" s="16"/>
    </row>
    <row r="18" spans="1:6" ht="15.75" customHeight="1">
      <c r="A18" s="16">
        <v>17</v>
      </c>
      <c r="B18" s="16">
        <v>15</v>
      </c>
      <c r="C18" s="16">
        <v>15</v>
      </c>
      <c r="D18" s="16"/>
      <c r="E18" s="16"/>
      <c r="F18" s="52"/>
    </row>
    <row r="19" spans="1:6" ht="15.75" customHeight="1">
      <c r="A19" s="16">
        <v>18</v>
      </c>
      <c r="B19" s="16">
        <v>30</v>
      </c>
      <c r="C19" s="16">
        <v>30</v>
      </c>
      <c r="D19" s="16"/>
      <c r="E19" s="16"/>
      <c r="F19" s="52"/>
    </row>
    <row r="20" spans="1:6" ht="15.75" customHeight="1">
      <c r="A20" s="16">
        <v>19</v>
      </c>
      <c r="B20" s="16">
        <v>20</v>
      </c>
      <c r="C20" s="16">
        <v>20</v>
      </c>
      <c r="D20" s="16"/>
      <c r="E20" s="16"/>
      <c r="F20" s="52"/>
    </row>
    <row r="21" spans="1:6" ht="15.75" customHeight="1">
      <c r="A21" s="16">
        <v>20</v>
      </c>
      <c r="B21" s="16">
        <v>20</v>
      </c>
      <c r="C21" s="16">
        <v>20</v>
      </c>
      <c r="D21" s="16"/>
      <c r="E21" s="16"/>
      <c r="F21" s="52"/>
    </row>
    <row r="22" spans="1:6" ht="15.75" customHeight="1">
      <c r="A22" s="16">
        <v>21</v>
      </c>
      <c r="B22" s="16">
        <v>10</v>
      </c>
      <c r="C22" s="16">
        <v>10</v>
      </c>
      <c r="D22" s="16"/>
      <c r="E22" s="16"/>
      <c r="F22" s="16"/>
    </row>
    <row r="23" spans="1:6" ht="15.75" customHeight="1">
      <c r="A23" s="16">
        <v>22</v>
      </c>
      <c r="B23" s="16">
        <v>20</v>
      </c>
      <c r="C23" s="16">
        <v>20</v>
      </c>
      <c r="D23" s="16"/>
      <c r="E23" s="16"/>
      <c r="F23" s="52"/>
    </row>
    <row r="24" spans="1:6" ht="15.75" customHeight="1">
      <c r="A24" s="16">
        <v>23</v>
      </c>
      <c r="B24" s="16">
        <v>20</v>
      </c>
      <c r="C24" s="16">
        <v>20</v>
      </c>
      <c r="D24" s="16"/>
      <c r="E24" s="16"/>
      <c r="F24" s="52"/>
    </row>
    <row r="25" spans="1:6" ht="15.75" customHeight="1">
      <c r="A25" s="16">
        <v>24</v>
      </c>
      <c r="B25" s="16">
        <v>20</v>
      </c>
      <c r="C25" s="16">
        <v>20</v>
      </c>
      <c r="D25" s="16"/>
      <c r="E25" s="16"/>
      <c r="F25" s="52"/>
    </row>
    <row r="26" spans="1:6" ht="15.75" customHeight="1">
      <c r="A26" s="16">
        <v>25</v>
      </c>
      <c r="B26" s="16">
        <v>15</v>
      </c>
      <c r="C26" s="16">
        <v>15</v>
      </c>
      <c r="D26" s="16"/>
      <c r="E26" s="16"/>
      <c r="F26" s="16"/>
    </row>
    <row r="27" spans="1:6" ht="15.75" customHeight="1">
      <c r="A27" s="16">
        <v>26</v>
      </c>
      <c r="B27" s="16">
        <v>15</v>
      </c>
      <c r="C27" s="16">
        <v>15</v>
      </c>
      <c r="D27" s="16"/>
      <c r="E27" s="16"/>
      <c r="F27" s="16"/>
    </row>
    <row r="28" spans="1:6" ht="15.75" customHeight="1">
      <c r="A28" s="16">
        <v>27</v>
      </c>
      <c r="B28" s="16">
        <v>10</v>
      </c>
      <c r="C28" s="16">
        <v>10</v>
      </c>
      <c r="D28" s="16"/>
      <c r="E28" s="16"/>
      <c r="F28" s="16"/>
    </row>
    <row r="29" spans="1:6" ht="15.75" customHeight="1">
      <c r="A29" s="16">
        <v>28</v>
      </c>
      <c r="B29" s="16">
        <v>20</v>
      </c>
      <c r="C29" s="16">
        <v>20</v>
      </c>
      <c r="D29" s="16"/>
      <c r="E29" s="16"/>
      <c r="F29" s="52"/>
    </row>
    <row r="30" spans="1:6" ht="15.75" customHeight="1">
      <c r="A30" s="16">
        <v>29</v>
      </c>
      <c r="B30" s="16">
        <v>10</v>
      </c>
      <c r="C30" s="16">
        <v>10</v>
      </c>
      <c r="D30" s="16"/>
      <c r="E30" s="16"/>
      <c r="F30" s="16"/>
    </row>
    <row r="31" spans="1:6" ht="15.75" customHeight="1">
      <c r="A31" s="16">
        <v>30</v>
      </c>
      <c r="B31" s="16">
        <v>5</v>
      </c>
      <c r="C31" s="16"/>
      <c r="D31" s="16">
        <v>5</v>
      </c>
      <c r="E31" s="16"/>
      <c r="F31" s="16"/>
    </row>
    <row r="32" spans="1:6" ht="15.75" customHeight="1">
      <c r="A32" s="16">
        <v>31</v>
      </c>
      <c r="B32" s="16">
        <v>5</v>
      </c>
      <c r="C32" s="16"/>
      <c r="D32" s="16">
        <v>5</v>
      </c>
      <c r="E32" s="16"/>
      <c r="F32" s="16"/>
    </row>
    <row r="33" spans="1:6" ht="15.75" customHeight="1">
      <c r="A33" s="16">
        <v>32</v>
      </c>
      <c r="B33" s="16">
        <v>5</v>
      </c>
      <c r="C33" s="16"/>
      <c r="D33" s="16">
        <v>5</v>
      </c>
      <c r="E33" s="16"/>
      <c r="F33" s="16"/>
    </row>
    <row r="34" spans="1:6" ht="15.75" customHeight="1">
      <c r="A34" s="16">
        <v>33</v>
      </c>
      <c r="B34" s="16">
        <v>5</v>
      </c>
      <c r="C34" s="16"/>
      <c r="D34" s="16">
        <v>5</v>
      </c>
      <c r="E34" s="16"/>
      <c r="F34" s="16"/>
    </row>
    <row r="35" spans="1:6" ht="15.75" customHeight="1">
      <c r="A35" s="16">
        <v>34</v>
      </c>
      <c r="B35" s="16"/>
      <c r="C35" s="16"/>
      <c r="D35" s="16"/>
      <c r="E35" s="16"/>
      <c r="F35" s="16"/>
    </row>
    <row r="36" spans="1:6" ht="15.75" customHeight="1">
      <c r="A36" s="16">
        <v>35</v>
      </c>
      <c r="B36" s="16"/>
      <c r="C36" s="16"/>
      <c r="D36" s="16"/>
      <c r="E36" s="16"/>
      <c r="F36" s="16"/>
    </row>
    <row r="37" spans="1:6" ht="15.75" customHeight="1">
      <c r="A37" s="16">
        <v>36</v>
      </c>
      <c r="B37" s="16"/>
      <c r="C37" s="16"/>
      <c r="D37" s="16"/>
      <c r="E37" s="16"/>
      <c r="F37" s="16"/>
    </row>
    <row r="38" spans="1:6" ht="15.75" customHeight="1">
      <c r="A38" s="16">
        <v>37</v>
      </c>
      <c r="B38" s="16"/>
      <c r="C38" s="16"/>
      <c r="D38" s="16"/>
      <c r="E38" s="16"/>
      <c r="F38" s="16"/>
    </row>
    <row r="39" spans="1:6" ht="15.75" customHeight="1">
      <c r="A39" s="16">
        <v>38</v>
      </c>
      <c r="B39" s="16"/>
      <c r="C39" s="16"/>
      <c r="D39" s="16"/>
      <c r="E39" s="16"/>
      <c r="F39" s="16"/>
    </row>
    <row r="40" spans="1:6" ht="15.75" customHeight="1">
      <c r="A40" s="16">
        <v>39</v>
      </c>
      <c r="B40" s="16"/>
      <c r="C40" s="16"/>
      <c r="D40" s="16"/>
      <c r="E40" s="16"/>
      <c r="F40" s="52"/>
    </row>
    <row r="41" spans="1:6" ht="15.75" customHeight="1">
      <c r="A41" s="16">
        <v>40</v>
      </c>
      <c r="B41" s="16"/>
      <c r="C41" s="16"/>
      <c r="D41" s="16"/>
      <c r="E41" s="16"/>
      <c r="F41" s="16"/>
    </row>
    <row r="42" spans="1:6" ht="15.75" customHeight="1">
      <c r="A42" s="16">
        <v>41</v>
      </c>
      <c r="B42" s="16"/>
      <c r="C42" s="16"/>
      <c r="D42" s="16"/>
      <c r="E42" s="16"/>
      <c r="F42" s="16"/>
    </row>
    <row r="43" spans="1:6" ht="15.75" customHeight="1">
      <c r="A43" s="16">
        <v>42</v>
      </c>
      <c r="B43" s="16"/>
      <c r="C43" s="16"/>
      <c r="D43" s="16"/>
      <c r="E43" s="16"/>
      <c r="F43" s="16"/>
    </row>
    <row r="44" spans="1:6" ht="15.75" customHeight="1">
      <c r="A44" s="16">
        <v>43</v>
      </c>
      <c r="B44" s="16"/>
      <c r="C44" s="16"/>
      <c r="D44" s="16"/>
      <c r="E44" s="16"/>
      <c r="F44" s="52"/>
    </row>
    <row r="45" spans="1:6" ht="15.75" customHeight="1">
      <c r="A45" s="16">
        <v>44</v>
      </c>
      <c r="B45" s="16"/>
      <c r="C45" s="16"/>
      <c r="D45" s="16"/>
      <c r="E45" s="16"/>
      <c r="F45" s="16"/>
    </row>
    <row r="46" spans="1:6" ht="15.75" customHeight="1">
      <c r="A46" s="16">
        <v>45</v>
      </c>
      <c r="B46" s="16"/>
      <c r="C46" s="16"/>
      <c r="D46" s="16"/>
      <c r="E46" s="16"/>
      <c r="F46" s="52"/>
    </row>
    <row r="47" spans="1:6" ht="15.75" customHeight="1">
      <c r="A47" s="16">
        <v>46</v>
      </c>
      <c r="B47" s="16"/>
      <c r="C47" s="16"/>
      <c r="D47" s="16"/>
      <c r="E47" s="16"/>
      <c r="F47" s="52"/>
    </row>
    <row r="48" spans="1:6" ht="15.75" customHeight="1">
      <c r="A48" s="16">
        <v>47</v>
      </c>
      <c r="B48" s="16"/>
      <c r="C48" s="16"/>
      <c r="D48" s="16"/>
      <c r="E48" s="16"/>
      <c r="F48" s="52"/>
    </row>
    <row r="49" spans="1:6" ht="15.75" customHeight="1">
      <c r="A49" s="16">
        <v>48</v>
      </c>
      <c r="B49" s="16"/>
      <c r="C49" s="16"/>
      <c r="D49" s="16"/>
      <c r="E49" s="16"/>
      <c r="F49" s="52"/>
    </row>
    <row r="50" spans="1:6" ht="15.75" customHeight="1">
      <c r="A50" s="16"/>
      <c r="B50" s="16"/>
      <c r="C50" s="16"/>
      <c r="D50" s="16"/>
      <c r="E50" s="16"/>
      <c r="F50" s="52"/>
    </row>
    <row r="51" spans="1:6" ht="15.75" customHeight="1">
      <c r="A51" s="16"/>
      <c r="B51" s="16"/>
      <c r="C51" s="16"/>
      <c r="D51" s="16"/>
      <c r="E51" s="16"/>
      <c r="F51" s="16"/>
    </row>
    <row r="52" spans="1:6" ht="15.75" customHeight="1">
      <c r="A52" s="16"/>
      <c r="B52" s="16"/>
      <c r="C52" s="16"/>
      <c r="D52" s="16"/>
      <c r="E52" s="16"/>
      <c r="F52" s="52"/>
    </row>
    <row r="53" spans="1:6" ht="15.75" customHeight="1">
      <c r="A53" s="16"/>
      <c r="B53" s="16"/>
      <c r="C53" s="16"/>
      <c r="D53" s="16"/>
      <c r="E53" s="16"/>
      <c r="F53" s="52"/>
    </row>
    <row r="54" spans="1:6" ht="15.75" customHeight="1">
      <c r="A54" s="16"/>
      <c r="B54" s="16"/>
      <c r="C54" s="16"/>
      <c r="D54" s="16"/>
      <c r="E54" s="16"/>
      <c r="F54" s="52"/>
    </row>
    <row r="55" spans="1:6" ht="15.75" customHeight="1">
      <c r="A55" s="16"/>
      <c r="B55" s="16"/>
      <c r="C55" s="16"/>
      <c r="D55" s="16"/>
      <c r="E55" s="16"/>
      <c r="F55" s="52"/>
    </row>
    <row r="56" spans="1:6" ht="15.75" customHeight="1">
      <c r="A56" s="16"/>
      <c r="B56" s="16"/>
      <c r="C56" s="16"/>
      <c r="D56" s="16"/>
      <c r="E56" s="16"/>
      <c r="F56" s="52"/>
    </row>
    <row r="57" spans="1:6" ht="15.75" customHeight="1">
      <c r="A57" s="16"/>
      <c r="B57" s="16"/>
      <c r="C57" s="16"/>
      <c r="D57" s="16"/>
      <c r="E57" s="16"/>
      <c r="F57" s="52"/>
    </row>
    <row r="58" spans="1:6" ht="15.75" customHeight="1">
      <c r="A58" s="16"/>
      <c r="B58" s="16"/>
      <c r="C58" s="16"/>
      <c r="D58" s="16"/>
      <c r="E58" s="16"/>
      <c r="F58" s="52"/>
    </row>
    <row r="59" spans="1:6" ht="15.75" customHeight="1">
      <c r="A59" s="16"/>
      <c r="B59" s="16"/>
      <c r="C59" s="16"/>
      <c r="D59" s="16"/>
      <c r="E59" s="16"/>
      <c r="F59" s="52"/>
    </row>
    <row r="60" spans="1:6" ht="15.75" customHeight="1">
      <c r="A60" s="16"/>
      <c r="B60" s="16"/>
      <c r="C60" s="16"/>
      <c r="D60" s="16"/>
      <c r="E60" s="16"/>
      <c r="F60" s="52"/>
    </row>
    <row r="61" spans="1:6" ht="15.75" customHeight="1">
      <c r="A61" s="16"/>
      <c r="B61" s="16"/>
      <c r="C61" s="16"/>
      <c r="D61" s="16"/>
      <c r="E61" s="16"/>
      <c r="F61" s="16"/>
    </row>
    <row r="62" spans="1:6" ht="15.75" customHeight="1">
      <c r="A62" s="16"/>
      <c r="B62" s="16"/>
      <c r="C62" s="16"/>
      <c r="D62" s="16"/>
      <c r="E62" s="16"/>
      <c r="F62" s="16"/>
    </row>
    <row r="63" spans="1:6" ht="15.75" customHeight="1">
      <c r="A63" s="16"/>
      <c r="B63" s="16"/>
      <c r="C63" s="16"/>
      <c r="D63" s="16"/>
      <c r="E63" s="16"/>
      <c r="F63" s="16"/>
    </row>
    <row r="64" spans="1:6" ht="15.75" customHeight="1">
      <c r="A64" s="16"/>
      <c r="B64" s="16"/>
      <c r="C64" s="16"/>
      <c r="D64" s="16"/>
      <c r="E64" s="16"/>
      <c r="F64" s="16"/>
    </row>
    <row r="65" spans="1:6" ht="15.75" customHeight="1">
      <c r="A65" s="16"/>
      <c r="B65" s="16"/>
      <c r="C65" s="52"/>
      <c r="D65" s="52"/>
      <c r="E65" s="16"/>
      <c r="F65" s="16"/>
    </row>
    <row r="66" spans="1:6" ht="15.75" customHeight="1">
      <c r="A66" s="16"/>
      <c r="B66" s="16"/>
      <c r="C66" s="52"/>
      <c r="D66" s="52"/>
      <c r="E66" s="16"/>
      <c r="F66" s="52"/>
    </row>
    <row r="67" spans="1:6" ht="15.75" customHeight="1">
      <c r="A67" s="16"/>
      <c r="B67" s="16"/>
      <c r="C67" s="52"/>
      <c r="D67" s="52"/>
      <c r="E67" s="16"/>
      <c r="F67" s="52"/>
    </row>
    <row r="68" spans="1:6" ht="15.75" customHeight="1">
      <c r="A68" s="16"/>
      <c r="B68" s="16"/>
      <c r="C68" s="52"/>
      <c r="D68" s="52"/>
      <c r="E68" s="16"/>
      <c r="F68" s="16"/>
    </row>
    <row r="69" spans="1:6" ht="15.75" customHeight="1">
      <c r="A69" s="16"/>
      <c r="B69" s="16"/>
      <c r="C69" s="52"/>
      <c r="D69" s="52"/>
      <c r="E69" s="16"/>
      <c r="F69" s="16"/>
    </row>
    <row r="70" spans="1:6" ht="15.75" customHeight="1">
      <c r="A70" s="16"/>
      <c r="B70" s="16"/>
      <c r="C70" s="52"/>
      <c r="D70" s="52"/>
      <c r="E70" s="16"/>
      <c r="F70" s="16"/>
    </row>
    <row r="71" spans="1:6" ht="15.75" customHeight="1">
      <c r="A71" s="16"/>
      <c r="B71" s="16"/>
      <c r="C71" s="52"/>
      <c r="D71" s="52"/>
      <c r="E71" s="16"/>
      <c r="F71" s="52"/>
    </row>
    <row r="72" spans="1:6" ht="15.75" customHeight="1">
      <c r="A72" s="16"/>
      <c r="B72" s="16"/>
      <c r="C72" s="52"/>
      <c r="D72" s="52"/>
      <c r="E72" s="16"/>
      <c r="F72" s="52"/>
    </row>
    <row r="73" spans="1:6" ht="15.75" customHeight="1">
      <c r="A73" s="16"/>
      <c r="B73" s="16"/>
      <c r="C73" s="52"/>
      <c r="D73" s="52"/>
      <c r="E73" s="16"/>
      <c r="F73" s="16"/>
    </row>
    <row r="74" spans="1:6" ht="15.75" customHeight="1">
      <c r="A74" s="16"/>
      <c r="B74" s="16"/>
      <c r="C74" s="52"/>
      <c r="D74" s="52"/>
      <c r="E74" s="16"/>
      <c r="F74" s="16"/>
    </row>
    <row r="75" spans="1:6" ht="15.75" customHeight="1">
      <c r="A75" s="16"/>
      <c r="B75" s="16"/>
      <c r="C75" s="52"/>
      <c r="D75" s="52"/>
      <c r="E75" s="16"/>
      <c r="F75" s="16"/>
    </row>
    <row r="76" spans="1:6" ht="15.75" customHeight="1">
      <c r="A76" s="16"/>
      <c r="B76" s="16"/>
      <c r="C76" s="52"/>
      <c r="D76" s="52"/>
      <c r="E76" s="16"/>
      <c r="F76" s="52"/>
    </row>
    <row r="77" spans="1:6" ht="15.75" customHeight="1">
      <c r="A77" s="16"/>
      <c r="B77" s="16"/>
      <c r="C77" s="52"/>
      <c r="D77" s="52"/>
      <c r="E77" s="16"/>
      <c r="F77" s="16"/>
    </row>
    <row r="78" spans="1:6" ht="15.75" customHeight="1">
      <c r="A78" s="16"/>
      <c r="B78" s="16"/>
      <c r="C78" s="52"/>
      <c r="D78" s="52"/>
      <c r="E78" s="16"/>
      <c r="F78" s="52"/>
    </row>
    <row r="79" spans="1:6" ht="15.75" customHeight="1">
      <c r="A79" s="16"/>
      <c r="B79" s="16"/>
      <c r="C79" s="52"/>
      <c r="D79" s="52"/>
      <c r="E79" s="16"/>
      <c r="F79" s="16"/>
    </row>
    <row r="80" spans="1:6" ht="15.75" customHeight="1">
      <c r="A80" s="16"/>
      <c r="B80" s="16"/>
      <c r="C80" s="52"/>
      <c r="D80" s="52"/>
      <c r="E80" s="16"/>
      <c r="F80" s="16"/>
    </row>
    <row r="81" spans="1:6" ht="15.75" customHeight="1">
      <c r="A81" s="16"/>
      <c r="B81" s="16"/>
      <c r="C81" s="52"/>
      <c r="D81" s="52"/>
      <c r="E81" s="16"/>
      <c r="F81" s="16"/>
    </row>
    <row r="82" spans="1:6" ht="15.75" customHeight="1">
      <c r="A82" s="16"/>
      <c r="B82" s="16"/>
      <c r="C82" s="52"/>
      <c r="D82" s="52"/>
      <c r="E82" s="16"/>
      <c r="F82" s="16"/>
    </row>
    <row r="83" spans="1:6" ht="15.75" customHeight="1">
      <c r="A83" s="16"/>
      <c r="B83" s="16"/>
      <c r="C83" s="52"/>
      <c r="D83" s="52"/>
      <c r="E83" s="52"/>
      <c r="F83" s="16"/>
    </row>
    <row r="84" spans="1:6" ht="15.75" customHeight="1">
      <c r="A84" s="16"/>
      <c r="B84" s="16"/>
      <c r="C84" s="52"/>
      <c r="D84" s="52"/>
      <c r="E84" s="52"/>
      <c r="F84" s="16"/>
    </row>
    <row r="85" spans="1:6" ht="15.75" customHeight="1">
      <c r="A85" s="16"/>
      <c r="B85" s="16"/>
      <c r="C85" s="52"/>
      <c r="D85" s="52"/>
      <c r="E85" s="52"/>
      <c r="F85" s="16"/>
    </row>
    <row r="86" spans="1:6" ht="15.75" customHeight="1">
      <c r="A86" s="16"/>
      <c r="B86" s="16"/>
      <c r="C86" s="52"/>
      <c r="D86" s="52"/>
      <c r="E86" s="52"/>
      <c r="F86" s="16"/>
    </row>
    <row r="87" spans="1:6" ht="15.75" customHeight="1">
      <c r="A87" s="16"/>
      <c r="B87" s="16"/>
      <c r="C87" s="52"/>
      <c r="D87" s="52"/>
      <c r="E87" s="52"/>
      <c r="F87" s="16"/>
    </row>
    <row r="88" spans="1:6" ht="15.75" customHeight="1">
      <c r="A88" s="16"/>
      <c r="B88" s="16"/>
      <c r="C88" s="52"/>
      <c r="D88" s="52"/>
      <c r="E88" s="52"/>
      <c r="F88" s="16"/>
    </row>
    <row r="89" spans="1:6" ht="15.75" customHeight="1">
      <c r="A89" s="16"/>
      <c r="B89" s="16"/>
      <c r="C89" s="52"/>
      <c r="D89" s="52"/>
      <c r="E89" s="52"/>
      <c r="F89" s="16"/>
    </row>
    <row r="90" spans="1:6" ht="15.75" customHeight="1">
      <c r="A90" s="16"/>
      <c r="B90" s="16"/>
      <c r="C90" s="52"/>
      <c r="D90" s="52"/>
      <c r="E90" s="52"/>
      <c r="F90" s="16"/>
    </row>
    <row r="91" spans="1:6" ht="15.75" customHeight="1">
      <c r="A91" s="16"/>
      <c r="B91" s="16"/>
      <c r="C91" s="52"/>
      <c r="D91" s="52"/>
      <c r="E91" s="52"/>
      <c r="F91" s="16"/>
    </row>
    <row r="92" spans="1:6" ht="15.75" customHeight="1">
      <c r="A92" s="16"/>
      <c r="B92" s="16"/>
      <c r="C92" s="52"/>
      <c r="D92" s="52"/>
      <c r="E92" s="52"/>
      <c r="F92" s="16"/>
    </row>
    <row r="93" spans="1:6" ht="15.75" customHeight="1">
      <c r="A93" s="16"/>
      <c r="B93" s="16"/>
      <c r="C93" s="52"/>
      <c r="D93" s="52"/>
      <c r="E93" s="52"/>
      <c r="F93" s="16"/>
    </row>
    <row r="94" spans="1:6" ht="15.75" customHeight="1">
      <c r="A94" s="16"/>
      <c r="B94" s="16"/>
      <c r="C94" s="52"/>
      <c r="D94" s="52"/>
      <c r="E94" s="52"/>
      <c r="F94" s="16"/>
    </row>
    <row r="95" spans="1:6" ht="15.75" customHeight="1">
      <c r="A95" s="16"/>
      <c r="B95" s="16"/>
      <c r="C95" s="52"/>
      <c r="D95" s="52"/>
      <c r="E95" s="52"/>
      <c r="F95" s="16"/>
    </row>
    <row r="96" spans="1:6" ht="15.75" customHeight="1">
      <c r="D96" s="52"/>
    </row>
    <row r="97" spans="4:4" ht="15.75" customHeight="1">
      <c r="D97" s="52"/>
    </row>
    <row r="98" spans="4:4" ht="15.75" customHeight="1">
      <c r="D98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Mikajy</cp:lastModifiedBy>
  <dcterms:modified xsi:type="dcterms:W3CDTF">2026-03-31T09:29:16Z</dcterms:modified>
</cp:coreProperties>
</file>